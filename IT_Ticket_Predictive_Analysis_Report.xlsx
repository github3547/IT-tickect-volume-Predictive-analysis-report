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Model Results" sheetId="3" state="visible" r:id="rId3"/>
    <sheet xmlns:r="http://schemas.openxmlformats.org/officeDocument/2006/relationships" name="📅 Quarterly Summary" sheetId="4" state="visible" r:id="rId4"/>
    <sheet xmlns:r="http://schemas.openxmlformats.org/officeDocument/2006/relationships" name="🔮 6-Month Forecast" sheetId="5" state="visible" r:id="rId5"/>
    <sheet xmlns:r="http://schemas.openxmlformats.org/officeDocument/2006/relationships" name="📝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D6E4F0"/>
      <sz val="10"/>
    </font>
    <font>
      <name val="Arial"/>
      <b val="1"/>
      <color rgb="00FFFFFF"/>
      <sz val="9"/>
    </font>
    <font>
      <name val="Arial"/>
      <b val="1"/>
      <color rgb="002E75B6"/>
      <sz val="18"/>
    </font>
    <font>
      <name val="Arial"/>
      <i val="1"/>
      <color rgb="00767676"/>
      <sz val="8"/>
    </font>
    <font>
      <name val="Arial"/>
      <b val="1"/>
      <color rgb="00C55A11"/>
      <sz val="18"/>
    </font>
    <font>
      <name val="Arial"/>
      <b val="1"/>
      <color rgb="00375623"/>
      <sz val="18"/>
    </font>
    <font>
      <name val="Arial"/>
      <b val="1"/>
      <color rgb="00FFFFFF"/>
      <sz val="12"/>
    </font>
    <font>
      <name val="Arial"/>
      <b val="1"/>
      <color rgb="001F4E79"/>
      <sz val="10"/>
    </font>
    <font>
      <name val="Arial"/>
      <i val="1"/>
      <color rgb="00375623"/>
      <sz val="10"/>
    </font>
    <font>
      <name val="Arial"/>
      <b val="1"/>
      <color rgb="00FFFFFF"/>
      <sz val="10"/>
    </font>
    <font>
      <name val="Arial"/>
      <color rgb="001A1A1A"/>
      <sz val="9"/>
    </font>
    <font>
      <name val="Arial"/>
      <color rgb="00375623"/>
      <sz val="9"/>
    </font>
    <font>
      <name val="Arial"/>
      <color rgb="00C55A11"/>
      <sz val="9"/>
    </font>
    <font>
      <name val="Arial"/>
      <color rgb="001A1A1A"/>
      <sz val="10"/>
    </font>
    <font>
      <name val="Arial"/>
      <b val="1"/>
      <color rgb="00C55A11"/>
      <sz val="10"/>
    </font>
    <font>
      <name val="Arial"/>
      <b val="1"/>
      <color rgb="00375623"/>
      <sz val="10"/>
    </font>
    <font>
      <name val="Courier New"/>
      <color rgb="001F4E79"/>
      <sz val="10"/>
    </font>
    <font>
      <name val="Arial"/>
      <b val="1"/>
      <color rgb="00FFFFFF"/>
      <sz val="13"/>
    </font>
    <font>
      <name val="Arial"/>
      <color rgb="00C55A11"/>
      <sz val="10"/>
    </font>
    <font>
      <name val="Arial"/>
      <color rgb="00375623"/>
      <sz val="10"/>
    </font>
    <font>
      <name val="Arial"/>
      <b val="1"/>
      <color rgb="001A1A1A"/>
      <sz val="10"/>
    </font>
    <font>
      <name val="Arial"/>
      <b val="1"/>
      <color rgb="001A1A1A"/>
      <sz val="11"/>
    </font>
    <font>
      <name val="Arial"/>
      <i val="1"/>
      <color rgb="00767676"/>
      <sz val="9"/>
    </font>
    <font>
      <name val="Arial"/>
      <b val="1"/>
      <color rgb="001F4E79"/>
      <sz val="11"/>
    </font>
    <font>
      <name val="Arial"/>
      <b val="1"/>
      <color rgb="00C00000"/>
      <sz val="10"/>
    </font>
    <font>
      <name val="Arial"/>
      <b val="1"/>
      <color rgb="00FFFFFF"/>
      <sz val="11"/>
    </font>
    <font>
      <name val="Arial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C55A11"/>
        <bgColor rgb="00C55A11"/>
      </patternFill>
    </fill>
    <fill>
      <patternFill patternType="solid">
        <fgColor rgb="00375623"/>
        <bgColor rgb="00375623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8" fillId="4" borderId="0" applyAlignment="1" pivotButton="0" quotePrefix="0" xfId="0">
      <alignment horizontal="left" vertical="top" wrapText="1"/>
    </xf>
    <xf numFmtId="0" fontId="19" fillId="2" borderId="0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8" borderId="0" pivotButton="0" quotePrefix="0" xfId="0"/>
    <xf numFmtId="0" fontId="23" fillId="8" borderId="1" pivotButton="0" quotePrefix="0" xfId="0"/>
    <xf numFmtId="0" fontId="19" fillId="6" borderId="0" applyAlignment="1" pivotButton="0" quotePrefix="0" xfId="0">
      <alignment horizontal="left" vertical="center"/>
    </xf>
    <xf numFmtId="0" fontId="24" fillId="9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7" fillId="6" borderId="0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15" fillId="4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239000" cy="2238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723900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4953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4191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7239000" cy="2286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6096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zoomScale="9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40" customHeight="1">
      <c r="A1" s="1" t="inlineStr">
        <is>
          <t>IT TICKET VOLUME — PREDICTIVE ANALYSIS REPORT</t>
        </is>
      </c>
    </row>
    <row r="2" ht="22" customHeight="1">
      <c r="A2" s="2" t="inlineStr">
        <is>
          <t>ACT Government · Digital &amp; Technology Services · Reporting Period: Jan 2021 – Dec 2024  |  Forecast: Jan–Jun 2025</t>
        </is>
      </c>
    </row>
    <row r="3" ht="18" customHeight="1"/>
    <row r="4" ht="14" customHeight="1"/>
    <row r="5" ht="36" customHeight="1">
      <c r="A5" s="3" t="inlineStr">
        <is>
          <t>R² (Test Set)</t>
        </is>
      </c>
      <c r="C5" s="4" t="inlineStr">
        <is>
          <t>Mean Abs Error</t>
        </is>
      </c>
      <c r="E5" s="3" t="inlineStr">
        <is>
          <t>RMSE</t>
        </is>
      </c>
      <c r="H5" s="5" t="inlineStr">
        <is>
          <t>Training Months</t>
        </is>
      </c>
      <c r="J5" s="3" t="inlineStr">
        <is>
          <t>Test Months</t>
        </is>
      </c>
      <c r="L5" s="4" t="inlineStr">
        <is>
          <t>Forecast Horizon</t>
        </is>
      </c>
    </row>
    <row r="6" ht="22" customHeight="1">
      <c r="A6" s="6" t="inlineStr">
        <is>
          <t>41.1%</t>
        </is>
      </c>
      <c r="C6" s="7" t="inlineStr">
        <is>
          <t>15.7 tix</t>
        </is>
      </c>
      <c r="E6" s="6" t="inlineStr">
        <is>
          <t>18.7 tix</t>
        </is>
      </c>
      <c r="H6" s="8" t="inlineStr">
        <is>
          <t>38</t>
        </is>
      </c>
      <c r="J6" s="6" t="inlineStr">
        <is>
          <t>10</t>
        </is>
      </c>
      <c r="L6" s="7" t="inlineStr">
        <is>
          <t>6 Months</t>
        </is>
      </c>
    </row>
    <row r="7" ht="20" customHeight="1">
      <c r="A7" s="9" t="inlineStr">
        <is>
          <t>Model accuracy on unseen data</t>
        </is>
      </c>
      <c r="C7" s="9" t="inlineStr">
        <is>
          <t>Avg forecast error per month</t>
        </is>
      </c>
      <c r="E7" s="9" t="inlineStr">
        <is>
          <t>Root mean squared error</t>
        </is>
      </c>
      <c r="H7" s="9" t="inlineStr">
        <is>
          <t>80% of 48-month dataset</t>
        </is>
      </c>
      <c r="J7" s="9" t="inlineStr">
        <is>
          <t>20% held-out for validation</t>
        </is>
      </c>
      <c r="L7" s="9" t="inlineStr">
        <is>
          <t>Jan–Jun 2025 projection</t>
        </is>
      </c>
    </row>
    <row r="8" ht="10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22" customHeight="1">
      <c r="A38" s="10" t="inlineStr">
        <is>
          <t>🔍  KEY FINDINGS &amp; RECOMMENDATIONS</t>
        </is>
      </c>
    </row>
    <row r="39" ht="18" customHeight="1">
      <c r="A39" s="11" t="inlineStr">
        <is>
          <t xml:space="preserve">  ● Remote Work % is the strongest driver of ticket volume — each 1% increase adds ~1.8 tickets/month.</t>
        </is>
      </c>
    </row>
    <row r="40" ht="18" customHeight="1">
      <c r="A40" s="12" t="inlineStr">
        <is>
          <t xml:space="preserve">     ➜ Recommendation: Ensure remote desktop tools and VPN support scale proportionally with headcount growth.</t>
        </is>
      </c>
    </row>
    <row r="41" ht="18" customHeight="1">
      <c r="A41" s="13" t="inlineStr">
        <is>
          <t xml:space="preserve">  ● System Updates drive ~6.3 additional tickets per update event.</t>
        </is>
      </c>
    </row>
    <row r="42" ht="18" customHeight="1">
      <c r="A42" s="14" t="inlineStr">
        <is>
          <t xml:space="preserve">     ➜ Recommendation: Schedule major updates in low-demand periods (Q3) and pair with pre-release user comms.</t>
        </is>
      </c>
    </row>
    <row r="43" ht="18" customHeight="1">
      <c r="A43" s="11" t="inlineStr">
        <is>
          <t xml:space="preserve">  ● Staff Count has a moderate positive effect — onboarding surges are predictable.</t>
        </is>
      </c>
    </row>
    <row r="44" ht="18" customHeight="1">
      <c r="A44" s="12" t="inlineStr">
        <is>
          <t xml:space="preserve">     ➜ Recommendation: Pre-position helpdesk resources 30 days before planned headcount increases.</t>
        </is>
      </c>
    </row>
    <row r="45" ht="18" customHeight="1">
      <c r="A45" s="13" t="inlineStr">
        <is>
          <t xml:space="preserve">  ● Avg Tenure is negatively correlated (-11.5 per year) — experienced staff raise fewer tickets.</t>
        </is>
      </c>
    </row>
    <row r="46" ht="18" customHeight="1">
      <c r="A46" s="14" t="inlineStr">
        <is>
          <t xml:space="preserve">     ➜ Recommendation: Retention programs and internal L&amp;D will reduce ticket load over time.</t>
        </is>
      </c>
    </row>
    <row r="47" ht="18" customHeight="1">
      <c r="A47" s="11" t="inlineStr">
        <is>
          <t xml:space="preserve">  ● Forecast projects a gradual increase to ~288 tickets/month by Jun 2025.</t>
        </is>
      </c>
    </row>
    <row r="48" ht="18" customHeight="1">
      <c r="A48" s="12" t="inlineStr">
        <is>
          <t xml:space="preserve">     ➜ Recommendation: Consider hiring 1 additional L2 analyst by Q2 2025 to maintain SLA compliance.</t>
        </is>
      </c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31">
    <mergeCell ref="A47:P47"/>
    <mergeCell ref="A42:P42"/>
    <mergeCell ref="C6:D6"/>
    <mergeCell ref="L7:M7"/>
    <mergeCell ref="J5:K5"/>
    <mergeCell ref="C5:D5"/>
    <mergeCell ref="E5:F5"/>
    <mergeCell ref="A38:P38"/>
    <mergeCell ref="A6:B6"/>
    <mergeCell ref="A43:P43"/>
    <mergeCell ref="H6:I6"/>
    <mergeCell ref="A7:B7"/>
    <mergeCell ref="A44:P44"/>
    <mergeCell ref="J6:K6"/>
    <mergeCell ref="A40:P40"/>
    <mergeCell ref="A39:P39"/>
    <mergeCell ref="L5:M5"/>
    <mergeCell ref="A48:P48"/>
    <mergeCell ref="E6:F6"/>
    <mergeCell ref="A1:P1"/>
    <mergeCell ref="H7:I7"/>
    <mergeCell ref="A45:P45"/>
    <mergeCell ref="J7:K7"/>
    <mergeCell ref="A5:B5"/>
    <mergeCell ref="A41:P41"/>
    <mergeCell ref="A46:P46"/>
    <mergeCell ref="C7:D7"/>
    <mergeCell ref="L6:M6"/>
    <mergeCell ref="E7:F7"/>
    <mergeCell ref="H5:I5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3" customWidth="1" min="4" max="4"/>
    <col width="15" customWidth="1" min="5" max="5"/>
    <col width="9" customWidth="1" min="6" max="6"/>
    <col width="14" customWidth="1" min="7" max="7"/>
    <col width="10" customWidth="1" min="8" max="8"/>
    <col width="9" customWidth="1" min="9" max="9"/>
    <col width="6" customWidth="1" min="10" max="10"/>
    <col width="10" customWidth="1" min="11" max="11"/>
    <col width="9" customWidth="1" min="12" max="12"/>
  </cols>
  <sheetData>
    <row r="1">
      <c r="A1" s="15" t="inlineStr">
        <is>
          <t>Month</t>
        </is>
      </c>
      <c r="B1" s="15" t="inlineStr">
        <is>
          <t>Ticket Volume</t>
        </is>
      </c>
      <c r="C1" s="15" t="inlineStr">
        <is>
          <t>Staff Count</t>
        </is>
      </c>
      <c r="D1" s="15" t="inlineStr">
        <is>
          <t>System Updates</t>
        </is>
      </c>
      <c r="E1" s="15" t="inlineStr">
        <is>
          <t>Avg Tenure (Yrs)</t>
        </is>
      </c>
      <c r="F1" s="15" t="inlineStr">
        <is>
          <t>Remote %</t>
        </is>
      </c>
      <c r="G1" s="15" t="inlineStr">
        <is>
          <t>Prior Month Vol</t>
        </is>
      </c>
      <c r="H1" s="15" t="inlineStr">
        <is>
          <t>Month Num</t>
        </is>
      </c>
      <c r="I1" s="15" t="inlineStr">
        <is>
          <t>Quarter</t>
        </is>
      </c>
      <c r="J1" s="15" t="inlineStr">
        <is>
          <t>Year</t>
        </is>
      </c>
      <c r="K1" s="15" t="inlineStr">
        <is>
          <t>Predicted</t>
        </is>
      </c>
      <c r="L1" s="15" t="inlineStr">
        <is>
          <t>Residual</t>
        </is>
      </c>
    </row>
    <row r="2">
      <c r="A2" s="16" t="inlineStr">
        <is>
          <t>Jan 2021</t>
        </is>
      </c>
      <c r="B2" s="16" t="n">
        <v>169</v>
      </c>
      <c r="C2" s="16" t="n">
        <v>202</v>
      </c>
      <c r="D2" s="16" t="n">
        <v>2</v>
      </c>
      <c r="E2" s="16" t="n">
        <v>4.7</v>
      </c>
      <c r="F2" s="16" t="n">
        <v>28.7</v>
      </c>
      <c r="G2" s="16" t="n">
        <v>0</v>
      </c>
      <c r="H2" s="16" t="n">
        <v>1</v>
      </c>
      <c r="I2" s="16" t="n">
        <v>1</v>
      </c>
      <c r="J2" s="16" t="n">
        <v>2021</v>
      </c>
      <c r="K2" s="16" t="n">
        <v>169</v>
      </c>
      <c r="L2" s="17" t="n">
        <v>0</v>
      </c>
    </row>
    <row r="3">
      <c r="A3" s="18" t="inlineStr">
        <is>
          <t>Feb 2021</t>
        </is>
      </c>
      <c r="B3" s="18" t="n">
        <v>178</v>
      </c>
      <c r="C3" s="18" t="n">
        <v>201</v>
      </c>
      <c r="D3" s="18" t="n">
        <v>3</v>
      </c>
      <c r="E3" s="18" t="n">
        <v>4.5</v>
      </c>
      <c r="F3" s="18" t="n">
        <v>25.7</v>
      </c>
      <c r="G3" s="18" t="n">
        <v>169</v>
      </c>
      <c r="H3" s="18" t="n">
        <v>2</v>
      </c>
      <c r="I3" s="18" t="n">
        <v>1</v>
      </c>
      <c r="J3" s="18" t="n">
        <v>2021</v>
      </c>
      <c r="K3" s="18" t="n">
        <v>188</v>
      </c>
      <c r="L3" s="19" t="n">
        <v>-10</v>
      </c>
    </row>
    <row r="4">
      <c r="A4" s="16" t="inlineStr">
        <is>
          <t>Mar 2021</t>
        </is>
      </c>
      <c r="B4" s="16" t="n">
        <v>196</v>
      </c>
      <c r="C4" s="16" t="n">
        <v>207</v>
      </c>
      <c r="D4" s="16" t="n">
        <v>1</v>
      </c>
      <c r="E4" s="16" t="n">
        <v>4.6</v>
      </c>
      <c r="F4" s="16" t="n">
        <v>29.2</v>
      </c>
      <c r="G4" s="16" t="n">
        <v>178</v>
      </c>
      <c r="H4" s="16" t="n">
        <v>3</v>
      </c>
      <c r="I4" s="16" t="n">
        <v>1</v>
      </c>
      <c r="J4" s="16" t="n">
        <v>2021</v>
      </c>
      <c r="K4" s="16" t="n">
        <v>181</v>
      </c>
      <c r="L4" s="17" t="n">
        <v>15</v>
      </c>
    </row>
    <row r="5">
      <c r="A5" s="18" t="inlineStr">
        <is>
          <t>Apr 2021</t>
        </is>
      </c>
      <c r="B5" s="18" t="n">
        <v>235</v>
      </c>
      <c r="C5" s="18" t="n">
        <v>213</v>
      </c>
      <c r="D5" s="18" t="n">
        <v>4</v>
      </c>
      <c r="E5" s="18" t="n">
        <v>5</v>
      </c>
      <c r="F5" s="18" t="n">
        <v>37.2</v>
      </c>
      <c r="G5" s="18" t="n">
        <v>196</v>
      </c>
      <c r="H5" s="18" t="n">
        <v>4</v>
      </c>
      <c r="I5" s="18" t="n">
        <v>2</v>
      </c>
      <c r="J5" s="18" t="n">
        <v>2021</v>
      </c>
      <c r="K5" s="18" t="n">
        <v>211</v>
      </c>
      <c r="L5" s="20" t="n">
        <v>24</v>
      </c>
    </row>
    <row r="6">
      <c r="A6" s="16" t="inlineStr">
        <is>
          <t>May 2021</t>
        </is>
      </c>
      <c r="B6" s="16" t="n">
        <v>188</v>
      </c>
      <c r="C6" s="16" t="n">
        <v>206</v>
      </c>
      <c r="D6" s="16" t="n">
        <v>1</v>
      </c>
      <c r="E6" s="16" t="n">
        <v>4.5</v>
      </c>
      <c r="F6" s="16" t="n">
        <v>32</v>
      </c>
      <c r="G6" s="16" t="n">
        <v>235</v>
      </c>
      <c r="H6" s="16" t="n">
        <v>5</v>
      </c>
      <c r="I6" s="16" t="n">
        <v>2</v>
      </c>
      <c r="J6" s="16" t="n">
        <v>2021</v>
      </c>
      <c r="K6" s="16" t="n">
        <v>192</v>
      </c>
      <c r="L6" s="21" t="n">
        <v>-4</v>
      </c>
    </row>
    <row r="7">
      <c r="A7" s="18" t="inlineStr">
        <is>
          <t>Jun 2021</t>
        </is>
      </c>
      <c r="B7" s="18" t="n">
        <v>207</v>
      </c>
      <c r="C7" s="18" t="n">
        <v>207</v>
      </c>
      <c r="D7" s="18" t="n">
        <v>3</v>
      </c>
      <c r="E7" s="18" t="n">
        <v>4.2</v>
      </c>
      <c r="F7" s="18" t="n">
        <v>32.8</v>
      </c>
      <c r="G7" s="18" t="n">
        <v>188</v>
      </c>
      <c r="H7" s="18" t="n">
        <v>6</v>
      </c>
      <c r="I7" s="18" t="n">
        <v>2</v>
      </c>
      <c r="J7" s="18" t="n">
        <v>2021</v>
      </c>
      <c r="K7" s="18" t="n">
        <v>204</v>
      </c>
      <c r="L7" s="20" t="n">
        <v>3</v>
      </c>
    </row>
    <row r="8">
      <c r="A8" s="16" t="inlineStr">
        <is>
          <t>Jul 2021</t>
        </is>
      </c>
      <c r="B8" s="16" t="n">
        <v>195</v>
      </c>
      <c r="C8" s="16" t="n">
        <v>218</v>
      </c>
      <c r="D8" s="16" t="n">
        <v>3</v>
      </c>
      <c r="E8" s="16" t="n">
        <v>4.7</v>
      </c>
      <c r="F8" s="16" t="n">
        <v>35.4</v>
      </c>
      <c r="G8" s="16" t="n">
        <v>207</v>
      </c>
      <c r="H8" s="16" t="n">
        <v>7</v>
      </c>
      <c r="I8" s="16" t="n">
        <v>3</v>
      </c>
      <c r="J8" s="16" t="n">
        <v>2021</v>
      </c>
      <c r="K8" s="16" t="n">
        <v>205</v>
      </c>
      <c r="L8" s="21" t="n">
        <v>-10</v>
      </c>
    </row>
    <row r="9">
      <c r="A9" s="18" t="inlineStr">
        <is>
          <t>Aug 2021</t>
        </is>
      </c>
      <c r="B9" s="18" t="n">
        <v>217</v>
      </c>
      <c r="C9" s="18" t="n">
        <v>216</v>
      </c>
      <c r="D9" s="18" t="n">
        <v>3</v>
      </c>
      <c r="E9" s="18" t="n">
        <v>4.4</v>
      </c>
      <c r="F9" s="18" t="n">
        <v>30.4</v>
      </c>
      <c r="G9" s="18" t="n">
        <v>195</v>
      </c>
      <c r="H9" s="18" t="n">
        <v>8</v>
      </c>
      <c r="I9" s="18" t="n">
        <v>3</v>
      </c>
      <c r="J9" s="18" t="n">
        <v>2021</v>
      </c>
      <c r="K9" s="18" t="n">
        <v>198</v>
      </c>
      <c r="L9" s="20" t="n">
        <v>19</v>
      </c>
    </row>
    <row r="10">
      <c r="A10" s="16" t="inlineStr">
        <is>
          <t>Sep 2021</t>
        </is>
      </c>
      <c r="B10" s="16" t="n">
        <v>227</v>
      </c>
      <c r="C10" s="16" t="n">
        <v>211</v>
      </c>
      <c r="D10" s="16" t="n">
        <v>5</v>
      </c>
      <c r="E10" s="16" t="n">
        <v>4.6</v>
      </c>
      <c r="F10" s="16" t="n">
        <v>38.8</v>
      </c>
      <c r="G10" s="16" t="n">
        <v>217</v>
      </c>
      <c r="H10" s="16" t="n">
        <v>9</v>
      </c>
      <c r="I10" s="16" t="n">
        <v>3</v>
      </c>
      <c r="J10" s="16" t="n">
        <v>2021</v>
      </c>
      <c r="K10" s="16" t="n">
        <v>224</v>
      </c>
      <c r="L10" s="17" t="n">
        <v>3</v>
      </c>
    </row>
    <row r="11">
      <c r="A11" s="18" t="inlineStr">
        <is>
          <t>Oct 2021</t>
        </is>
      </c>
      <c r="B11" s="18" t="n">
        <v>179</v>
      </c>
      <c r="C11" s="18" t="n">
        <v>218</v>
      </c>
      <c r="D11" s="18" t="n">
        <v>0</v>
      </c>
      <c r="E11" s="18" t="n">
        <v>4.6</v>
      </c>
      <c r="F11" s="18" t="n">
        <v>40.5</v>
      </c>
      <c r="G11" s="18" t="n">
        <v>227</v>
      </c>
      <c r="H11" s="18" t="n">
        <v>10</v>
      </c>
      <c r="I11" s="18" t="n">
        <v>4</v>
      </c>
      <c r="J11" s="18" t="n">
        <v>2021</v>
      </c>
      <c r="K11" s="18" t="n">
        <v>196</v>
      </c>
      <c r="L11" s="19" t="n">
        <v>-17</v>
      </c>
    </row>
    <row r="12">
      <c r="A12" s="16" t="inlineStr">
        <is>
          <t>Nov 2021</t>
        </is>
      </c>
      <c r="B12" s="16" t="n">
        <v>164</v>
      </c>
      <c r="C12" s="16" t="n">
        <v>215</v>
      </c>
      <c r="D12" s="16" t="n">
        <v>1</v>
      </c>
      <c r="E12" s="16" t="n">
        <v>4</v>
      </c>
      <c r="F12" s="16" t="n">
        <v>38.6</v>
      </c>
      <c r="G12" s="16" t="n">
        <v>179</v>
      </c>
      <c r="H12" s="16" t="n">
        <v>11</v>
      </c>
      <c r="I12" s="16" t="n">
        <v>4</v>
      </c>
      <c r="J12" s="16" t="n">
        <v>2021</v>
      </c>
      <c r="K12" s="16" t="n">
        <v>201</v>
      </c>
      <c r="L12" s="21" t="n">
        <v>-37</v>
      </c>
    </row>
    <row r="13">
      <c r="A13" s="18" t="inlineStr">
        <is>
          <t>Dec 2021</t>
        </is>
      </c>
      <c r="B13" s="18" t="n">
        <v>196</v>
      </c>
      <c r="C13" s="18" t="n">
        <v>216</v>
      </c>
      <c r="D13" s="18" t="n">
        <v>4</v>
      </c>
      <c r="E13" s="18" t="n">
        <v>4.7</v>
      </c>
      <c r="F13" s="18" t="n">
        <v>43.1</v>
      </c>
      <c r="G13" s="18" t="n">
        <v>164</v>
      </c>
      <c r="H13" s="18" t="n">
        <v>12</v>
      </c>
      <c r="I13" s="18" t="n">
        <v>4</v>
      </c>
      <c r="J13" s="18" t="n">
        <v>2021</v>
      </c>
      <c r="K13" s="18" t="n">
        <v>218</v>
      </c>
      <c r="L13" s="19" t="n">
        <v>-22</v>
      </c>
    </row>
    <row r="14">
      <c r="A14" s="16" t="inlineStr">
        <is>
          <t>Jan 2022</t>
        </is>
      </c>
      <c r="B14" s="16" t="n">
        <v>198</v>
      </c>
      <c r="C14" s="16" t="n">
        <v>222</v>
      </c>
      <c r="D14" s="16" t="n">
        <v>3</v>
      </c>
      <c r="E14" s="16" t="n">
        <v>4.5</v>
      </c>
      <c r="F14" s="16" t="n">
        <v>35</v>
      </c>
      <c r="G14" s="16" t="n">
        <v>196</v>
      </c>
      <c r="H14" s="16" t="n">
        <v>1</v>
      </c>
      <c r="I14" s="16" t="n">
        <v>1</v>
      </c>
      <c r="J14" s="16" t="n">
        <v>2022</v>
      </c>
      <c r="K14" s="16" t="n">
        <v>208</v>
      </c>
      <c r="L14" s="21" t="n">
        <v>-10</v>
      </c>
    </row>
    <row r="15">
      <c r="A15" s="18" t="inlineStr">
        <is>
          <t>Feb 2022</t>
        </is>
      </c>
      <c r="B15" s="18" t="n">
        <v>221</v>
      </c>
      <c r="C15" s="18" t="n">
        <v>213</v>
      </c>
      <c r="D15" s="18" t="n">
        <v>1</v>
      </c>
      <c r="E15" s="18" t="n">
        <v>4.1</v>
      </c>
      <c r="F15" s="18" t="n">
        <v>45.2</v>
      </c>
      <c r="G15" s="18" t="n">
        <v>198</v>
      </c>
      <c r="H15" s="18" t="n">
        <v>2</v>
      </c>
      <c r="I15" s="18" t="n">
        <v>1</v>
      </c>
      <c r="J15" s="18" t="n">
        <v>2022</v>
      </c>
      <c r="K15" s="18" t="n">
        <v>218</v>
      </c>
      <c r="L15" s="20" t="n">
        <v>3</v>
      </c>
    </row>
    <row r="16">
      <c r="A16" s="16" t="inlineStr">
        <is>
          <t>Mar 2022</t>
        </is>
      </c>
      <c r="B16" s="16" t="n">
        <v>262</v>
      </c>
      <c r="C16" s="16" t="n">
        <v>215</v>
      </c>
      <c r="D16" s="16" t="n">
        <v>7</v>
      </c>
      <c r="E16" s="16" t="n">
        <v>4.3</v>
      </c>
      <c r="F16" s="16" t="n">
        <v>38.2</v>
      </c>
      <c r="G16" s="16" t="n">
        <v>221</v>
      </c>
      <c r="H16" s="16" t="n">
        <v>3</v>
      </c>
      <c r="I16" s="16" t="n">
        <v>1</v>
      </c>
      <c r="J16" s="16" t="n">
        <v>2022</v>
      </c>
      <c r="K16" s="16" t="n">
        <v>242</v>
      </c>
      <c r="L16" s="17" t="n">
        <v>20</v>
      </c>
    </row>
    <row r="17">
      <c r="A17" s="18" t="inlineStr">
        <is>
          <t>Apr 2022</t>
        </is>
      </c>
      <c r="B17" s="18" t="n">
        <v>205</v>
      </c>
      <c r="C17" s="18" t="n">
        <v>223</v>
      </c>
      <c r="D17" s="18" t="n">
        <v>3</v>
      </c>
      <c r="E17" s="18" t="n">
        <v>4.3</v>
      </c>
      <c r="F17" s="18" t="n">
        <v>37.3</v>
      </c>
      <c r="G17" s="18" t="n">
        <v>262</v>
      </c>
      <c r="H17" s="18" t="n">
        <v>4</v>
      </c>
      <c r="I17" s="18" t="n">
        <v>2</v>
      </c>
      <c r="J17" s="18" t="n">
        <v>2022</v>
      </c>
      <c r="K17" s="18" t="n">
        <v>219</v>
      </c>
      <c r="L17" s="19" t="n">
        <v>-14</v>
      </c>
    </row>
    <row r="18">
      <c r="A18" s="16" t="inlineStr">
        <is>
          <t>May 2022</t>
        </is>
      </c>
      <c r="B18" s="16" t="n">
        <v>216</v>
      </c>
      <c r="C18" s="16" t="n">
        <v>222</v>
      </c>
      <c r="D18" s="16" t="n">
        <v>4</v>
      </c>
      <c r="E18" s="16" t="n">
        <v>4.2</v>
      </c>
      <c r="F18" s="16" t="n">
        <v>41.2</v>
      </c>
      <c r="G18" s="16" t="n">
        <v>205</v>
      </c>
      <c r="H18" s="16" t="n">
        <v>5</v>
      </c>
      <c r="I18" s="16" t="n">
        <v>2</v>
      </c>
      <c r="J18" s="16" t="n">
        <v>2022</v>
      </c>
      <c r="K18" s="16" t="n">
        <v>228</v>
      </c>
      <c r="L18" s="21" t="n">
        <v>-12</v>
      </c>
    </row>
    <row r="19">
      <c r="A19" s="18" t="inlineStr">
        <is>
          <t>Jun 2022</t>
        </is>
      </c>
      <c r="B19" s="18" t="n">
        <v>227</v>
      </c>
      <c r="C19" s="18" t="n">
        <v>231</v>
      </c>
      <c r="D19" s="18" t="n">
        <v>2</v>
      </c>
      <c r="E19" s="18" t="n">
        <v>4.4</v>
      </c>
      <c r="F19" s="18" t="n">
        <v>48.3</v>
      </c>
      <c r="G19" s="18" t="n">
        <v>216</v>
      </c>
      <c r="H19" s="18" t="n">
        <v>6</v>
      </c>
      <c r="I19" s="18" t="n">
        <v>2</v>
      </c>
      <c r="J19" s="18" t="n">
        <v>2022</v>
      </c>
      <c r="K19" s="18" t="n">
        <v>226</v>
      </c>
      <c r="L19" s="20" t="n">
        <v>1</v>
      </c>
    </row>
    <row r="20">
      <c r="A20" s="16" t="inlineStr">
        <is>
          <t>Jul 2022</t>
        </is>
      </c>
      <c r="B20" s="16" t="n">
        <v>207</v>
      </c>
      <c r="C20" s="16" t="n">
        <v>226</v>
      </c>
      <c r="D20" s="16" t="n">
        <v>1</v>
      </c>
      <c r="E20" s="16" t="n">
        <v>4.6</v>
      </c>
      <c r="F20" s="16" t="n">
        <v>43.3</v>
      </c>
      <c r="G20" s="16" t="n">
        <v>227</v>
      </c>
      <c r="H20" s="16" t="n">
        <v>7</v>
      </c>
      <c r="I20" s="16" t="n">
        <v>3</v>
      </c>
      <c r="J20" s="16" t="n">
        <v>2022</v>
      </c>
      <c r="K20" s="16" t="n">
        <v>209</v>
      </c>
      <c r="L20" s="21" t="n">
        <v>-2</v>
      </c>
    </row>
    <row r="21">
      <c r="A21" s="18" t="inlineStr">
        <is>
          <t>Aug 2022</t>
        </is>
      </c>
      <c r="B21" s="18" t="n">
        <v>243</v>
      </c>
      <c r="C21" s="18" t="n">
        <v>225</v>
      </c>
      <c r="D21" s="18" t="n">
        <v>4</v>
      </c>
      <c r="E21" s="18" t="n">
        <v>4.1</v>
      </c>
      <c r="F21" s="18" t="n">
        <v>41.4</v>
      </c>
      <c r="G21" s="18" t="n">
        <v>207</v>
      </c>
      <c r="H21" s="18" t="n">
        <v>8</v>
      </c>
      <c r="I21" s="18" t="n">
        <v>3</v>
      </c>
      <c r="J21" s="18" t="n">
        <v>2022</v>
      </c>
      <c r="K21" s="18" t="n">
        <v>228</v>
      </c>
      <c r="L21" s="20" t="n">
        <v>15</v>
      </c>
    </row>
    <row r="22">
      <c r="A22" s="16" t="inlineStr">
        <is>
          <t>Sep 2022</t>
        </is>
      </c>
      <c r="B22" s="16" t="n">
        <v>227</v>
      </c>
      <c r="C22" s="16" t="n">
        <v>241</v>
      </c>
      <c r="D22" s="16" t="n">
        <v>4</v>
      </c>
      <c r="E22" s="16" t="n">
        <v>4.5</v>
      </c>
      <c r="F22" s="16" t="n">
        <v>41</v>
      </c>
      <c r="G22" s="16" t="n">
        <v>243</v>
      </c>
      <c r="H22" s="16" t="n">
        <v>9</v>
      </c>
      <c r="I22" s="16" t="n">
        <v>3</v>
      </c>
      <c r="J22" s="16" t="n">
        <v>2022</v>
      </c>
      <c r="K22" s="16" t="n">
        <v>226</v>
      </c>
      <c r="L22" s="17" t="n">
        <v>1</v>
      </c>
    </row>
    <row r="23">
      <c r="A23" s="18" t="inlineStr">
        <is>
          <t>Oct 2022</t>
        </is>
      </c>
      <c r="B23" s="18" t="n">
        <v>234</v>
      </c>
      <c r="C23" s="18" t="n">
        <v>235</v>
      </c>
      <c r="D23" s="18" t="n">
        <v>1</v>
      </c>
      <c r="E23" s="18" t="n">
        <v>4.4</v>
      </c>
      <c r="F23" s="18" t="n">
        <v>45.3</v>
      </c>
      <c r="G23" s="18" t="n">
        <v>227</v>
      </c>
      <c r="H23" s="18" t="n">
        <v>10</v>
      </c>
      <c r="I23" s="18" t="n">
        <v>4</v>
      </c>
      <c r="J23" s="18" t="n">
        <v>2022</v>
      </c>
      <c r="K23" s="18" t="n">
        <v>214</v>
      </c>
      <c r="L23" s="20" t="n">
        <v>20</v>
      </c>
    </row>
    <row r="24">
      <c r="A24" s="16" t="inlineStr">
        <is>
          <t>Nov 2022</t>
        </is>
      </c>
      <c r="B24" s="16" t="n">
        <v>218</v>
      </c>
      <c r="C24" s="16" t="n">
        <v>238</v>
      </c>
      <c r="D24" s="16" t="n">
        <v>2</v>
      </c>
      <c r="E24" s="16" t="n">
        <v>4.1</v>
      </c>
      <c r="F24" s="16" t="n">
        <v>40.4</v>
      </c>
      <c r="G24" s="16" t="n">
        <v>234</v>
      </c>
      <c r="H24" s="16" t="n">
        <v>11</v>
      </c>
      <c r="I24" s="16" t="n">
        <v>4</v>
      </c>
      <c r="J24" s="16" t="n">
        <v>2022</v>
      </c>
      <c r="K24" s="16" t="n">
        <v>215</v>
      </c>
      <c r="L24" s="17" t="n">
        <v>3</v>
      </c>
    </row>
    <row r="25">
      <c r="A25" s="18" t="inlineStr">
        <is>
          <t>Dec 2022</t>
        </is>
      </c>
      <c r="B25" s="18" t="n">
        <v>242</v>
      </c>
      <c r="C25" s="18" t="n">
        <v>232</v>
      </c>
      <c r="D25" s="18" t="n">
        <v>3</v>
      </c>
      <c r="E25" s="18" t="n">
        <v>4.1</v>
      </c>
      <c r="F25" s="18" t="n">
        <v>43.2</v>
      </c>
      <c r="G25" s="18" t="n">
        <v>218</v>
      </c>
      <c r="H25" s="18" t="n">
        <v>12</v>
      </c>
      <c r="I25" s="18" t="n">
        <v>4</v>
      </c>
      <c r="J25" s="18" t="n">
        <v>2022</v>
      </c>
      <c r="K25" s="18" t="n">
        <v>224</v>
      </c>
      <c r="L25" s="20" t="n">
        <v>18</v>
      </c>
    </row>
    <row r="26">
      <c r="A26" s="16" t="inlineStr">
        <is>
          <t>Jan 2023</t>
        </is>
      </c>
      <c r="B26" s="16" t="n">
        <v>250</v>
      </c>
      <c r="C26" s="16" t="n">
        <v>238</v>
      </c>
      <c r="D26" s="16" t="n">
        <v>5</v>
      </c>
      <c r="E26" s="16" t="n">
        <v>3.7</v>
      </c>
      <c r="F26" s="16" t="n">
        <v>52.5</v>
      </c>
      <c r="G26" s="16" t="n">
        <v>242</v>
      </c>
      <c r="H26" s="16" t="n">
        <v>1</v>
      </c>
      <c r="I26" s="16" t="n">
        <v>1</v>
      </c>
      <c r="J26" s="16" t="n">
        <v>2023</v>
      </c>
      <c r="K26" s="16" t="n">
        <v>265</v>
      </c>
      <c r="L26" s="21" t="n">
        <v>-15</v>
      </c>
    </row>
    <row r="27">
      <c r="A27" s="18" t="inlineStr">
        <is>
          <t>Feb 2023</t>
        </is>
      </c>
      <c r="B27" s="18" t="n">
        <v>249</v>
      </c>
      <c r="C27" s="18" t="n">
        <v>243</v>
      </c>
      <c r="D27" s="18" t="n">
        <v>5</v>
      </c>
      <c r="E27" s="18" t="n">
        <v>3.5</v>
      </c>
      <c r="F27" s="18" t="n">
        <v>52.6</v>
      </c>
      <c r="G27" s="18" t="n">
        <v>250</v>
      </c>
      <c r="H27" s="18" t="n">
        <v>2</v>
      </c>
      <c r="I27" s="18" t="n">
        <v>1</v>
      </c>
      <c r="J27" s="18" t="n">
        <v>2023</v>
      </c>
      <c r="K27" s="18" t="n">
        <v>268</v>
      </c>
      <c r="L27" s="19" t="n">
        <v>-19</v>
      </c>
    </row>
    <row r="28">
      <c r="A28" s="16" t="inlineStr">
        <is>
          <t>Mar 2023</t>
        </is>
      </c>
      <c r="B28" s="16" t="n">
        <v>272</v>
      </c>
      <c r="C28" s="16" t="n">
        <v>239</v>
      </c>
      <c r="D28" s="16" t="n">
        <v>3</v>
      </c>
      <c r="E28" s="16" t="n">
        <v>4</v>
      </c>
      <c r="F28" s="16" t="n">
        <v>49</v>
      </c>
      <c r="G28" s="16" t="n">
        <v>249</v>
      </c>
      <c r="H28" s="16" t="n">
        <v>3</v>
      </c>
      <c r="I28" s="16" t="n">
        <v>1</v>
      </c>
      <c r="J28" s="16" t="n">
        <v>2023</v>
      </c>
      <c r="K28" s="16" t="n">
        <v>243</v>
      </c>
      <c r="L28" s="17" t="n">
        <v>29</v>
      </c>
    </row>
    <row r="29">
      <c r="A29" s="18" t="inlineStr">
        <is>
          <t>Apr 2023</t>
        </is>
      </c>
      <c r="B29" s="18" t="n">
        <v>259</v>
      </c>
      <c r="C29" s="18" t="n">
        <v>248</v>
      </c>
      <c r="D29" s="18" t="n">
        <v>2</v>
      </c>
      <c r="E29" s="18" t="n">
        <v>3.7</v>
      </c>
      <c r="F29" s="18" t="n">
        <v>48.7</v>
      </c>
      <c r="G29" s="18" t="n">
        <v>272</v>
      </c>
      <c r="H29" s="18" t="n">
        <v>4</v>
      </c>
      <c r="I29" s="18" t="n">
        <v>2</v>
      </c>
      <c r="J29" s="18" t="n">
        <v>2023</v>
      </c>
      <c r="K29" s="18" t="n">
        <v>242</v>
      </c>
      <c r="L29" s="20" t="n">
        <v>17</v>
      </c>
    </row>
    <row r="30">
      <c r="A30" s="16" t="inlineStr">
        <is>
          <t>May 2023</t>
        </is>
      </c>
      <c r="B30" s="16" t="n">
        <v>213</v>
      </c>
      <c r="C30" s="16" t="n">
        <v>245</v>
      </c>
      <c r="D30" s="16" t="n">
        <v>3</v>
      </c>
      <c r="E30" s="16" t="n">
        <v>3.9</v>
      </c>
      <c r="F30" s="16" t="n">
        <v>51</v>
      </c>
      <c r="G30" s="16" t="n">
        <v>259</v>
      </c>
      <c r="H30" s="16" t="n">
        <v>5</v>
      </c>
      <c r="I30" s="16" t="n">
        <v>2</v>
      </c>
      <c r="J30" s="16" t="n">
        <v>2023</v>
      </c>
      <c r="K30" s="16" t="n">
        <v>248</v>
      </c>
      <c r="L30" s="21" t="n">
        <v>-35</v>
      </c>
    </row>
    <row r="31">
      <c r="A31" s="18" t="inlineStr">
        <is>
          <t>Jun 2023</t>
        </is>
      </c>
      <c r="B31" s="18" t="n">
        <v>247</v>
      </c>
      <c r="C31" s="18" t="n">
        <v>248</v>
      </c>
      <c r="D31" s="18" t="n">
        <v>3</v>
      </c>
      <c r="E31" s="18" t="n">
        <v>3.8</v>
      </c>
      <c r="F31" s="18" t="n">
        <v>58.6</v>
      </c>
      <c r="G31" s="18" t="n">
        <v>213</v>
      </c>
      <c r="H31" s="18" t="n">
        <v>6</v>
      </c>
      <c r="I31" s="18" t="n">
        <v>2</v>
      </c>
      <c r="J31" s="18" t="n">
        <v>2023</v>
      </c>
      <c r="K31" s="18" t="n">
        <v>257</v>
      </c>
      <c r="L31" s="19" t="n">
        <v>-10</v>
      </c>
    </row>
    <row r="32">
      <c r="A32" s="16" t="inlineStr">
        <is>
          <t>Jul 2023</t>
        </is>
      </c>
      <c r="B32" s="16" t="n">
        <v>261</v>
      </c>
      <c r="C32" s="16" t="n">
        <v>248</v>
      </c>
      <c r="D32" s="16" t="n">
        <v>1</v>
      </c>
      <c r="E32" s="16" t="n">
        <v>3.4</v>
      </c>
      <c r="F32" s="16" t="n">
        <v>53.6</v>
      </c>
      <c r="G32" s="16" t="n">
        <v>247</v>
      </c>
      <c r="H32" s="16" t="n">
        <v>7</v>
      </c>
      <c r="I32" s="16" t="n">
        <v>3</v>
      </c>
      <c r="J32" s="16" t="n">
        <v>2023</v>
      </c>
      <c r="K32" s="16" t="n">
        <v>244</v>
      </c>
      <c r="L32" s="17" t="n">
        <v>17</v>
      </c>
    </row>
    <row r="33">
      <c r="A33" s="18" t="inlineStr">
        <is>
          <t>Aug 2023</t>
        </is>
      </c>
      <c r="B33" s="18" t="n">
        <v>260</v>
      </c>
      <c r="C33" s="18" t="n">
        <v>262</v>
      </c>
      <c r="D33" s="18" t="n">
        <v>6</v>
      </c>
      <c r="E33" s="18" t="n">
        <v>4</v>
      </c>
      <c r="F33" s="18" t="n">
        <v>55.8</v>
      </c>
      <c r="G33" s="18" t="n">
        <v>261</v>
      </c>
      <c r="H33" s="18" t="n">
        <v>8</v>
      </c>
      <c r="I33" s="18" t="n">
        <v>3</v>
      </c>
      <c r="J33" s="18" t="n">
        <v>2023</v>
      </c>
      <c r="K33" s="18" t="n">
        <v>273</v>
      </c>
      <c r="L33" s="19" t="n">
        <v>-13</v>
      </c>
    </row>
    <row r="34">
      <c r="A34" s="16" t="inlineStr">
        <is>
          <t>Sep 2023</t>
        </is>
      </c>
      <c r="B34" s="16" t="n">
        <v>256</v>
      </c>
      <c r="C34" s="16" t="n">
        <v>254</v>
      </c>
      <c r="D34" s="16" t="n">
        <v>1</v>
      </c>
      <c r="E34" s="16" t="n">
        <v>3.7</v>
      </c>
      <c r="F34" s="16" t="n">
        <v>53.2</v>
      </c>
      <c r="G34" s="16" t="n">
        <v>260</v>
      </c>
      <c r="H34" s="16" t="n">
        <v>9</v>
      </c>
      <c r="I34" s="16" t="n">
        <v>3</v>
      </c>
      <c r="J34" s="16" t="n">
        <v>2023</v>
      </c>
      <c r="K34" s="16" t="n">
        <v>240</v>
      </c>
      <c r="L34" s="17" t="n">
        <v>16</v>
      </c>
    </row>
    <row r="35">
      <c r="A35" s="18" t="inlineStr">
        <is>
          <t>Oct 2023</t>
        </is>
      </c>
      <c r="B35" s="18" t="n">
        <v>278</v>
      </c>
      <c r="C35" s="18" t="n">
        <v>251</v>
      </c>
      <c r="D35" s="18" t="n">
        <v>5</v>
      </c>
      <c r="E35" s="18" t="n">
        <v>3.9</v>
      </c>
      <c r="F35" s="18" t="n">
        <v>54.8</v>
      </c>
      <c r="G35" s="18" t="n">
        <v>256</v>
      </c>
      <c r="H35" s="18" t="n">
        <v>10</v>
      </c>
      <c r="I35" s="18" t="n">
        <v>4</v>
      </c>
      <c r="J35" s="18" t="n">
        <v>2023</v>
      </c>
      <c r="K35" s="18" t="n">
        <v>265</v>
      </c>
      <c r="L35" s="20" t="n">
        <v>13</v>
      </c>
    </row>
    <row r="36">
      <c r="A36" s="16" t="inlineStr">
        <is>
          <t>Nov 2023</t>
        </is>
      </c>
      <c r="B36" s="16" t="n">
        <v>259</v>
      </c>
      <c r="C36" s="16" t="n">
        <v>262</v>
      </c>
      <c r="D36" s="16" t="n">
        <v>4</v>
      </c>
      <c r="E36" s="16" t="n">
        <v>3.6</v>
      </c>
      <c r="F36" s="16" t="n">
        <v>57.3</v>
      </c>
      <c r="G36" s="16" t="n">
        <v>278</v>
      </c>
      <c r="H36" s="16" t="n">
        <v>11</v>
      </c>
      <c r="I36" s="16" t="n">
        <v>4</v>
      </c>
      <c r="J36" s="16" t="n">
        <v>2023</v>
      </c>
      <c r="K36" s="16" t="n">
        <v>268</v>
      </c>
      <c r="L36" s="21" t="n">
        <v>-9</v>
      </c>
    </row>
    <row r="37">
      <c r="A37" s="18" t="inlineStr">
        <is>
          <t>Dec 2023</t>
        </is>
      </c>
      <c r="B37" s="18" t="n">
        <v>257</v>
      </c>
      <c r="C37" s="18" t="n">
        <v>253</v>
      </c>
      <c r="D37" s="18" t="n">
        <v>3</v>
      </c>
      <c r="E37" s="18" t="n">
        <v>3.7</v>
      </c>
      <c r="F37" s="18" t="n">
        <v>56.4</v>
      </c>
      <c r="G37" s="18" t="n">
        <v>259</v>
      </c>
      <c r="H37" s="18" t="n">
        <v>12</v>
      </c>
      <c r="I37" s="18" t="n">
        <v>4</v>
      </c>
      <c r="J37" s="18" t="n">
        <v>2023</v>
      </c>
      <c r="K37" s="18" t="n">
        <v>256</v>
      </c>
      <c r="L37" s="20" t="n">
        <v>1</v>
      </c>
    </row>
    <row r="38">
      <c r="A38" s="16" t="inlineStr">
        <is>
          <t>Jan 2024</t>
        </is>
      </c>
      <c r="B38" s="16" t="n">
        <v>213</v>
      </c>
      <c r="C38" s="16" t="n">
        <v>262</v>
      </c>
      <c r="D38" s="16" t="n">
        <v>2</v>
      </c>
      <c r="E38" s="16" t="n">
        <v>4.2</v>
      </c>
      <c r="F38" s="16" t="n">
        <v>51.1</v>
      </c>
      <c r="G38" s="16" t="n">
        <v>257</v>
      </c>
      <c r="H38" s="16" t="n">
        <v>1</v>
      </c>
      <c r="I38" s="16" t="n">
        <v>1</v>
      </c>
      <c r="J38" s="16" t="n">
        <v>2024</v>
      </c>
      <c r="K38" s="16" t="n">
        <v>240</v>
      </c>
      <c r="L38" s="21" t="n">
        <v>-27</v>
      </c>
    </row>
    <row r="39">
      <c r="A39" s="18" t="inlineStr">
        <is>
          <t>Feb 2024</t>
        </is>
      </c>
      <c r="B39" s="18" t="n">
        <v>293</v>
      </c>
      <c r="C39" s="18" t="n">
        <v>253</v>
      </c>
      <c r="D39" s="18" t="n">
        <v>3</v>
      </c>
      <c r="E39" s="18" t="n">
        <v>3.8</v>
      </c>
      <c r="F39" s="18" t="n">
        <v>61.4</v>
      </c>
      <c r="G39" s="18" t="n">
        <v>213</v>
      </c>
      <c r="H39" s="18" t="n">
        <v>2</v>
      </c>
      <c r="I39" s="18" t="n">
        <v>1</v>
      </c>
      <c r="J39" s="18" t="n">
        <v>2024</v>
      </c>
      <c r="K39" s="18" t="n">
        <v>264</v>
      </c>
      <c r="L39" s="20" t="n">
        <v>29</v>
      </c>
    </row>
    <row r="40">
      <c r="A40" s="16" t="inlineStr">
        <is>
          <t>Mar 2024</t>
        </is>
      </c>
      <c r="B40" s="16" t="n">
        <v>248</v>
      </c>
      <c r="C40" s="16" t="n">
        <v>258</v>
      </c>
      <c r="D40" s="16" t="n">
        <v>2</v>
      </c>
      <c r="E40" s="16" t="n">
        <v>3.9</v>
      </c>
      <c r="F40" s="16" t="n">
        <v>56.5</v>
      </c>
      <c r="G40" s="16" t="n">
        <v>293</v>
      </c>
      <c r="H40" s="16" t="n">
        <v>3</v>
      </c>
      <c r="I40" s="16" t="n">
        <v>1</v>
      </c>
      <c r="J40" s="16" t="n">
        <v>2024</v>
      </c>
      <c r="K40" s="16" t="n">
        <v>256</v>
      </c>
      <c r="L40" s="21" t="n">
        <v>-8</v>
      </c>
    </row>
    <row r="41">
      <c r="A41" s="18" t="inlineStr">
        <is>
          <t>Apr 2024</t>
        </is>
      </c>
      <c r="B41" s="18" t="n">
        <v>312</v>
      </c>
      <c r="C41" s="18" t="n">
        <v>267</v>
      </c>
      <c r="D41" s="18" t="n">
        <v>6</v>
      </c>
      <c r="E41" s="18" t="n">
        <v>3.3</v>
      </c>
      <c r="F41" s="18" t="n">
        <v>65.40000000000001</v>
      </c>
      <c r="G41" s="18" t="n">
        <v>248</v>
      </c>
      <c r="H41" s="18" t="n">
        <v>4</v>
      </c>
      <c r="I41" s="18" t="n">
        <v>2</v>
      </c>
      <c r="J41" s="18" t="n">
        <v>2024</v>
      </c>
      <c r="K41" s="18" t="n">
        <v>299</v>
      </c>
      <c r="L41" s="20" t="n">
        <v>13</v>
      </c>
    </row>
    <row r="42">
      <c r="A42" s="16" t="inlineStr">
        <is>
          <t>May 2024</t>
        </is>
      </c>
      <c r="B42" s="16" t="n">
        <v>279</v>
      </c>
      <c r="C42" s="16" t="n">
        <v>272</v>
      </c>
      <c r="D42" s="16" t="n">
        <v>2</v>
      </c>
      <c r="E42" s="16" t="n">
        <v>4.4</v>
      </c>
      <c r="F42" s="16" t="n">
        <v>61.8</v>
      </c>
      <c r="G42" s="16" t="n">
        <v>312</v>
      </c>
      <c r="H42" s="16" t="n">
        <v>5</v>
      </c>
      <c r="I42" s="16" t="n">
        <v>2</v>
      </c>
      <c r="J42" s="16" t="n">
        <v>2024</v>
      </c>
      <c r="K42" s="16" t="n">
        <v>261</v>
      </c>
      <c r="L42" s="17" t="n">
        <v>18</v>
      </c>
    </row>
    <row r="43">
      <c r="A43" s="18" t="inlineStr">
        <is>
          <t>Jun 2024</t>
        </is>
      </c>
      <c r="B43" s="18" t="n">
        <v>317</v>
      </c>
      <c r="C43" s="18" t="n">
        <v>271</v>
      </c>
      <c r="D43" s="18" t="n">
        <v>6</v>
      </c>
      <c r="E43" s="18" t="n">
        <v>4.2</v>
      </c>
      <c r="F43" s="18" t="n">
        <v>60.7</v>
      </c>
      <c r="G43" s="18" t="n">
        <v>279</v>
      </c>
      <c r="H43" s="18" t="n">
        <v>6</v>
      </c>
      <c r="I43" s="18" t="n">
        <v>2</v>
      </c>
      <c r="J43" s="18" t="n">
        <v>2024</v>
      </c>
      <c r="K43" s="18" t="n">
        <v>282</v>
      </c>
      <c r="L43" s="20" t="n">
        <v>35</v>
      </c>
    </row>
    <row r="44">
      <c r="A44" s="16" t="inlineStr">
        <is>
          <t>Jul 2024</t>
        </is>
      </c>
      <c r="B44" s="16" t="n">
        <v>268</v>
      </c>
      <c r="C44" s="16" t="n">
        <v>271</v>
      </c>
      <c r="D44" s="16" t="n">
        <v>3</v>
      </c>
      <c r="E44" s="16" t="n">
        <v>4.1</v>
      </c>
      <c r="F44" s="16" t="n">
        <v>62.6</v>
      </c>
      <c r="G44" s="16" t="n">
        <v>317</v>
      </c>
      <c r="H44" s="16" t="n">
        <v>7</v>
      </c>
      <c r="I44" s="16" t="n">
        <v>3</v>
      </c>
      <c r="J44" s="16" t="n">
        <v>2024</v>
      </c>
      <c r="K44" s="16" t="n">
        <v>271</v>
      </c>
      <c r="L44" s="21" t="n">
        <v>-3</v>
      </c>
    </row>
    <row r="45">
      <c r="A45" s="18" t="inlineStr">
        <is>
          <t>Aug 2024</t>
        </is>
      </c>
      <c r="B45" s="18" t="n">
        <v>260</v>
      </c>
      <c r="C45" s="18" t="n">
        <v>272</v>
      </c>
      <c r="D45" s="18" t="n">
        <v>0</v>
      </c>
      <c r="E45" s="18" t="n">
        <v>3.9</v>
      </c>
      <c r="F45" s="18" t="n">
        <v>61.7</v>
      </c>
      <c r="G45" s="18" t="n">
        <v>268</v>
      </c>
      <c r="H45" s="18" t="n">
        <v>8</v>
      </c>
      <c r="I45" s="18" t="n">
        <v>3</v>
      </c>
      <c r="J45" s="18" t="n">
        <v>2024</v>
      </c>
      <c r="K45" s="18" t="n">
        <v>248</v>
      </c>
      <c r="L45" s="20" t="n">
        <v>12</v>
      </c>
    </row>
    <row r="46">
      <c r="A46" s="16" t="inlineStr">
        <is>
          <t>Sep 2024</t>
        </is>
      </c>
      <c r="B46" s="16" t="n">
        <v>297</v>
      </c>
      <c r="C46" s="16" t="n">
        <v>268</v>
      </c>
      <c r="D46" s="16" t="n">
        <v>5</v>
      </c>
      <c r="E46" s="16" t="n">
        <v>3.6</v>
      </c>
      <c r="F46" s="16" t="n">
        <v>61.3</v>
      </c>
      <c r="G46" s="16" t="n">
        <v>260</v>
      </c>
      <c r="H46" s="16" t="n">
        <v>9</v>
      </c>
      <c r="I46" s="16" t="n">
        <v>3</v>
      </c>
      <c r="J46" s="16" t="n">
        <v>2024</v>
      </c>
      <c r="K46" s="16" t="n">
        <v>281</v>
      </c>
      <c r="L46" s="17" t="n">
        <v>16</v>
      </c>
    </row>
    <row r="47">
      <c r="A47" s="18" t="inlineStr">
        <is>
          <t>Oct 2024</t>
        </is>
      </c>
      <c r="B47" s="18" t="n">
        <v>276</v>
      </c>
      <c r="C47" s="18" t="n">
        <v>273</v>
      </c>
      <c r="D47" s="18" t="n">
        <v>0</v>
      </c>
      <c r="E47" s="18" t="n">
        <v>3.7</v>
      </c>
      <c r="F47" s="18" t="n">
        <v>64.09999999999999</v>
      </c>
      <c r="G47" s="18" t="n">
        <v>297</v>
      </c>
      <c r="H47" s="18" t="n">
        <v>10</v>
      </c>
      <c r="I47" s="18" t="n">
        <v>4</v>
      </c>
      <c r="J47" s="18" t="n">
        <v>2024</v>
      </c>
      <c r="K47" s="18" t="n">
        <v>256</v>
      </c>
      <c r="L47" s="20" t="n">
        <v>20</v>
      </c>
    </row>
    <row r="48">
      <c r="A48" s="16" t="inlineStr">
        <is>
          <t>Nov 2024</t>
        </is>
      </c>
      <c r="B48" s="16" t="n">
        <v>324</v>
      </c>
      <c r="C48" s="16" t="n">
        <v>276</v>
      </c>
      <c r="D48" s="16" t="n">
        <v>6</v>
      </c>
      <c r="E48" s="16" t="n">
        <v>3.9</v>
      </c>
      <c r="F48" s="16" t="n">
        <v>66.90000000000001</v>
      </c>
      <c r="G48" s="16" t="n">
        <v>276</v>
      </c>
      <c r="H48" s="16" t="n">
        <v>11</v>
      </c>
      <c r="I48" s="16" t="n">
        <v>4</v>
      </c>
      <c r="J48" s="16" t="n">
        <v>2024</v>
      </c>
      <c r="K48" s="16" t="n">
        <v>294</v>
      </c>
      <c r="L48" s="17" t="n">
        <v>30</v>
      </c>
    </row>
    <row r="49">
      <c r="A49" s="18" t="inlineStr">
        <is>
          <t>Dec 2024</t>
        </is>
      </c>
      <c r="B49" s="18" t="n">
        <v>275</v>
      </c>
      <c r="C49" s="18" t="n">
        <v>285</v>
      </c>
      <c r="D49" s="18" t="n">
        <v>2</v>
      </c>
      <c r="E49" s="18" t="n">
        <v>3.4</v>
      </c>
      <c r="F49" s="18" t="n">
        <v>63.6</v>
      </c>
      <c r="G49" s="18" t="n">
        <v>324</v>
      </c>
      <c r="H49" s="18" t="n">
        <v>12</v>
      </c>
      <c r="I49" s="18" t="n">
        <v>4</v>
      </c>
      <c r="J49" s="18" t="n">
        <v>2024</v>
      </c>
      <c r="K49" s="18" t="n">
        <v>273</v>
      </c>
      <c r="L49" s="2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2" customWidth="1" min="3" max="3"/>
    <col width="22" customWidth="1" min="4" max="4"/>
    <col width="50" customWidth="1" min="5" max="5"/>
  </cols>
  <sheetData>
    <row r="1" ht="24" customHeight="1">
      <c r="A1" s="22" t="inlineStr">
        <is>
          <t xml:space="preserve"> MODEL PERFORMANCE METRICS</t>
        </is>
      </c>
    </row>
    <row r="3">
      <c r="A3" s="23" t="inlineStr">
        <is>
          <t>Metric</t>
        </is>
      </c>
      <c r="B3" s="23" t="inlineStr">
        <is>
          <t>Value</t>
        </is>
      </c>
      <c r="C3" s="23" t="inlineStr">
        <is>
          <t>Interpretation</t>
        </is>
      </c>
    </row>
    <row r="4">
      <c r="A4" s="24" t="inlineStr">
        <is>
          <t>R² Score – Training Set</t>
        </is>
      </c>
      <c r="B4" s="25" t="inlineStr">
        <is>
          <t>0.7074</t>
        </is>
      </c>
      <c r="C4" s="24" t="inlineStr">
        <is>
          <t>Proportion of variance explained on training data</t>
        </is>
      </c>
    </row>
    <row r="5">
      <c r="A5" s="26" t="inlineStr">
        <is>
          <t>R² Score – Test Set</t>
        </is>
      </c>
      <c r="B5" s="27" t="inlineStr">
        <is>
          <t>0.4106</t>
        </is>
      </c>
      <c r="C5" s="26" t="inlineStr">
        <is>
          <t>Proportion of variance explained on held-out data</t>
        </is>
      </c>
    </row>
    <row r="6">
      <c r="A6" s="24" t="inlineStr">
        <is>
          <t>Mean Absolute Error</t>
        </is>
      </c>
      <c r="B6" s="25" t="inlineStr">
        <is>
          <t>15.70 tickets</t>
        </is>
      </c>
      <c r="C6" s="24" t="inlineStr">
        <is>
          <t>Average prediction error per month (test set)</t>
        </is>
      </c>
    </row>
    <row r="7">
      <c r="A7" s="26" t="inlineStr">
        <is>
          <t>Root Mean Squared Error</t>
        </is>
      </c>
      <c r="B7" s="27" t="inlineStr">
        <is>
          <t>18.67 tickets</t>
        </is>
      </c>
      <c r="C7" s="26" t="inlineStr">
        <is>
          <t>Penalises large errors more heavily (test set)</t>
        </is>
      </c>
    </row>
    <row r="8">
      <c r="A8" s="24" t="inlineStr">
        <is>
          <t>Model Intercept</t>
        </is>
      </c>
      <c r="B8" s="25" t="inlineStr">
        <is>
          <t>155.8336</t>
        </is>
      </c>
      <c r="C8" s="24" t="inlineStr">
        <is>
          <t>Baseline ticket volume when all predictors = 0</t>
        </is>
      </c>
    </row>
    <row r="9">
      <c r="A9" s="26" t="inlineStr">
        <is>
          <t>Training Observations</t>
        </is>
      </c>
      <c r="B9" s="27" t="n">
        <v>38</v>
      </c>
      <c r="C9" s="26" t="inlineStr">
        <is>
          <t>80% of the 48-month dataset used for model fitting</t>
        </is>
      </c>
    </row>
    <row r="10">
      <c r="A10" s="24" t="inlineStr">
        <is>
          <t>Test Observations</t>
        </is>
      </c>
      <c r="B10" s="25" t="n">
        <v>10</v>
      </c>
      <c r="C10" s="24" t="inlineStr">
        <is>
          <t>20% of the 48-month dataset used for evaluation</t>
        </is>
      </c>
    </row>
    <row r="13" ht="24" customHeight="1">
      <c r="A13" s="22" t="inlineStr">
        <is>
          <t xml:space="preserve"> FEATURE IMPORTANCE (STANDARDISED COEFFICIENTS)</t>
        </is>
      </c>
    </row>
    <row r="15">
      <c r="A15" s="23" t="inlineStr">
        <is>
          <t>Feature</t>
        </is>
      </c>
      <c r="B15" s="23" t="inlineStr">
        <is>
          <t>Raw Coefficient</t>
        </is>
      </c>
      <c r="C15" s="23" t="inlineStr">
        <is>
          <t>Standardised Coeff</t>
        </is>
      </c>
      <c r="D15" s="23" t="inlineStr">
        <is>
          <t>Direction</t>
        </is>
      </c>
      <c r="E15" s="23" t="inlineStr">
        <is>
          <t>Business Interpretation</t>
        </is>
      </c>
    </row>
    <row r="16">
      <c r="A16" s="24" t="inlineStr">
        <is>
          <t>Remote Work %</t>
        </is>
      </c>
      <c r="B16" s="25" t="n">
        <v>1.7555</v>
      </c>
      <c r="C16" s="25" t="n">
        <v>22.0962</v>
      </c>
      <c r="D16" s="28" t="inlineStr">
        <is>
          <t>▲ Increases tickets</t>
        </is>
      </c>
      <c r="E16" s="24" t="inlineStr">
        <is>
          <t>Higher remote % → more IT support needed (VPN, remote tools)</t>
        </is>
      </c>
    </row>
    <row r="17">
      <c r="A17" s="26" t="inlineStr">
        <is>
          <t>System Updates</t>
        </is>
      </c>
      <c r="B17" s="27" t="n">
        <v>6.2739</v>
      </c>
      <c r="C17" s="27" t="n">
        <v>12.3298</v>
      </c>
      <c r="D17" s="29" t="inlineStr">
        <is>
          <t>▲ Increases tickets</t>
        </is>
      </c>
      <c r="E17" s="26" t="inlineStr">
        <is>
          <t>Each update batch generates significant support tickets</t>
        </is>
      </c>
    </row>
    <row r="18">
      <c r="A18" s="24" t="inlineStr">
        <is>
          <t>Staff Count</t>
        </is>
      </c>
      <c r="B18" s="25" t="n">
        <v>0.0247</v>
      </c>
      <c r="C18" s="25" t="n">
        <v>5.4681</v>
      </c>
      <c r="D18" s="28" t="inlineStr">
        <is>
          <t>▲ Increases tickets</t>
        </is>
      </c>
      <c r="E18" s="24" t="inlineStr">
        <is>
          <t>More staff = more potential ticket raisers</t>
        </is>
      </c>
    </row>
    <row r="19">
      <c r="A19" s="26" t="inlineStr">
        <is>
          <t>Prior Month Volume</t>
        </is>
      </c>
      <c r="B19" s="27" t="n">
        <v>0.0968</v>
      </c>
      <c r="C19" s="27" t="n">
        <v>3.2647</v>
      </c>
      <c r="D19" s="29" t="inlineStr">
        <is>
          <t>▲ Increases tickets</t>
        </is>
      </c>
      <c r="E19" s="26" t="inlineStr">
        <is>
          <t>Recent ticket trends carry forward (autocorrelation)</t>
        </is>
      </c>
    </row>
    <row r="20">
      <c r="A20" s="24" t="inlineStr">
        <is>
          <t>Month Number</t>
        </is>
      </c>
      <c r="B20" s="25" t="n">
        <v>-0.4856</v>
      </c>
      <c r="C20" s="25" t="n">
        <v>-1.2312</v>
      </c>
      <c r="D20" s="30" t="inlineStr">
        <is>
          <t>▼ Decreases tickets</t>
        </is>
      </c>
      <c r="E20" s="24" t="inlineStr">
        <is>
          <t>Slight seasonal dip mid-year (holiday periods)</t>
        </is>
      </c>
    </row>
    <row r="21">
      <c r="A21" s="26" t="inlineStr">
        <is>
          <t>Avg Tenure (Years)</t>
        </is>
      </c>
      <c r="B21" s="27" t="n">
        <v>-11.5453</v>
      </c>
      <c r="C21" s="27" t="n">
        <v>-1.5866</v>
      </c>
      <c r="D21" s="31" t="inlineStr">
        <is>
          <t>▼ Decreases tickets</t>
        </is>
      </c>
      <c r="E21" s="26" t="inlineStr">
        <is>
          <t>Experienced staff are more self-sufficient — fewer tickets</t>
        </is>
      </c>
    </row>
    <row r="40" ht="24" customHeight="1">
      <c r="A40" s="22" t="inlineStr">
        <is>
          <t xml:space="preserve"> REGRESSION EQUATION</t>
        </is>
      </c>
    </row>
    <row r="41" ht="60" customHeight="1">
      <c r="A41" s="32" t="inlineStr">
        <is>
          <t>Ticket Volume = 155.83 + (1.76 × Remote Work %)
  + (6.27 × System Updates)
  + (0.02 × Staff Count)
  + (0.1 × Prior Month Volume)
  + (-0.49 × Month Number)
  + (-11.55 × Avg Tenure (Years))</t>
        </is>
      </c>
    </row>
    <row r="42"/>
    <row r="43"/>
    <row r="44"/>
  </sheetData>
  <mergeCells count="4">
    <mergeCell ref="A13:L13"/>
    <mergeCell ref="A41:L44"/>
    <mergeCell ref="A1:L1"/>
    <mergeCell ref="A40:L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  <col width="15" customWidth="1" min="4" max="4"/>
    <col width="17" customWidth="1" min="5" max="5"/>
    <col width="10" customWidth="1" min="6" max="6"/>
    <col width="12" customWidth="1" min="7" max="7"/>
    <col width="11" customWidth="1" min="8" max="8"/>
    <col width="14" customWidth="1" min="9" max="9"/>
  </cols>
  <sheetData>
    <row r="1" ht="28" customHeight="1">
      <c r="A1" s="33" t="inlineStr">
        <is>
          <t xml:space="preserve"> QUARTERLY TICKET VOLUME — ACTUAL vs PREDICTED</t>
        </is>
      </c>
    </row>
    <row r="3">
      <c r="A3" s="23" t="inlineStr">
        <is>
          <t>Period</t>
        </is>
      </c>
      <c r="B3" s="23" t="inlineStr">
        <is>
          <t>Year</t>
        </is>
      </c>
      <c r="C3" s="23" t="inlineStr">
        <is>
          <t>Quarter</t>
        </is>
      </c>
      <c r="D3" s="23" t="inlineStr">
        <is>
          <t>Actual Tickets</t>
        </is>
      </c>
      <c r="E3" s="23" t="inlineStr">
        <is>
          <t>Predicted Tickets</t>
        </is>
      </c>
      <c r="F3" s="23" t="inlineStr">
        <is>
          <t>Variance</t>
        </is>
      </c>
      <c r="G3" s="23" t="inlineStr">
        <is>
          <t>Variance %</t>
        </is>
      </c>
      <c r="H3" s="23" t="inlineStr">
        <is>
          <t>Avg Staff</t>
        </is>
      </c>
      <c r="I3" s="23" t="inlineStr">
        <is>
          <t>Total Updates</t>
        </is>
      </c>
    </row>
    <row r="4">
      <c r="A4" s="25" t="inlineStr">
        <is>
          <t>Q1 2021</t>
        </is>
      </c>
      <c r="B4" s="25" t="n">
        <v>2021</v>
      </c>
      <c r="C4" s="25" t="inlineStr">
        <is>
          <t>Q1</t>
        </is>
      </c>
      <c r="D4" s="25" t="n">
        <v>543</v>
      </c>
      <c r="E4" s="25" t="n">
        <v>538</v>
      </c>
      <c r="F4" s="34" t="n">
        <v>5</v>
      </c>
      <c r="G4" s="35" t="n">
        <v>0.9</v>
      </c>
      <c r="H4" s="25" t="n">
        <v>203.3</v>
      </c>
      <c r="I4" s="25" t="n">
        <v>6</v>
      </c>
    </row>
    <row r="5">
      <c r="A5" s="27" t="inlineStr">
        <is>
          <t>Q2 2021</t>
        </is>
      </c>
      <c r="B5" s="27" t="n">
        <v>2021</v>
      </c>
      <c r="C5" s="27" t="inlineStr">
        <is>
          <t>Q2</t>
        </is>
      </c>
      <c r="D5" s="27" t="n">
        <v>630</v>
      </c>
      <c r="E5" s="27" t="n">
        <v>607</v>
      </c>
      <c r="F5" s="36" t="n">
        <v>23</v>
      </c>
      <c r="G5" s="37" t="n">
        <v>3.7</v>
      </c>
      <c r="H5" s="27" t="n">
        <v>208.7</v>
      </c>
      <c r="I5" s="27" t="n">
        <v>8</v>
      </c>
    </row>
    <row r="6">
      <c r="A6" s="25" t="inlineStr">
        <is>
          <t>Q3 2021</t>
        </is>
      </c>
      <c r="B6" s="25" t="n">
        <v>2021</v>
      </c>
      <c r="C6" s="25" t="inlineStr">
        <is>
          <t>Q3</t>
        </is>
      </c>
      <c r="D6" s="25" t="n">
        <v>639</v>
      </c>
      <c r="E6" s="25" t="n">
        <v>627</v>
      </c>
      <c r="F6" s="34" t="n">
        <v>12</v>
      </c>
      <c r="G6" s="35" t="n">
        <v>1.9</v>
      </c>
      <c r="H6" s="25" t="n">
        <v>215</v>
      </c>
      <c r="I6" s="25" t="n">
        <v>11</v>
      </c>
    </row>
    <row r="7">
      <c r="A7" s="27" t="inlineStr">
        <is>
          <t>Q4 2021</t>
        </is>
      </c>
      <c r="B7" s="27" t="n">
        <v>2021</v>
      </c>
      <c r="C7" s="27" t="inlineStr">
        <is>
          <t>Q4</t>
        </is>
      </c>
      <c r="D7" s="27" t="n">
        <v>539</v>
      </c>
      <c r="E7" s="27" t="n">
        <v>615</v>
      </c>
      <c r="F7" s="38" t="n">
        <v>-76</v>
      </c>
      <c r="G7" s="37" t="n">
        <v>-14.1</v>
      </c>
      <c r="H7" s="27" t="n">
        <v>216.3</v>
      </c>
      <c r="I7" s="27" t="n">
        <v>5</v>
      </c>
    </row>
    <row r="8">
      <c r="A8" s="25" t="inlineStr">
        <is>
          <t>Q1 2022</t>
        </is>
      </c>
      <c r="B8" s="25" t="n">
        <v>2022</v>
      </c>
      <c r="C8" s="25" t="inlineStr">
        <is>
          <t>Q1</t>
        </is>
      </c>
      <c r="D8" s="25" t="n">
        <v>681</v>
      </c>
      <c r="E8" s="25" t="n">
        <v>668</v>
      </c>
      <c r="F8" s="34" t="n">
        <v>13</v>
      </c>
      <c r="G8" s="35" t="n">
        <v>1.9</v>
      </c>
      <c r="H8" s="25" t="n">
        <v>216.7</v>
      </c>
      <c r="I8" s="25" t="n">
        <v>11</v>
      </c>
    </row>
    <row r="9">
      <c r="A9" s="27" t="inlineStr">
        <is>
          <t>Q2 2022</t>
        </is>
      </c>
      <c r="B9" s="27" t="n">
        <v>2022</v>
      </c>
      <c r="C9" s="27" t="inlineStr">
        <is>
          <t>Q2</t>
        </is>
      </c>
      <c r="D9" s="27" t="n">
        <v>648</v>
      </c>
      <c r="E9" s="27" t="n">
        <v>673</v>
      </c>
      <c r="F9" s="38" t="n">
        <v>-25</v>
      </c>
      <c r="G9" s="37" t="n">
        <v>-3.9</v>
      </c>
      <c r="H9" s="27" t="n">
        <v>225.3</v>
      </c>
      <c r="I9" s="27" t="n">
        <v>9</v>
      </c>
    </row>
    <row r="10">
      <c r="A10" s="25" t="inlineStr">
        <is>
          <t>Q3 2022</t>
        </is>
      </c>
      <c r="B10" s="25" t="n">
        <v>2022</v>
      </c>
      <c r="C10" s="25" t="inlineStr">
        <is>
          <t>Q3</t>
        </is>
      </c>
      <c r="D10" s="25" t="n">
        <v>677</v>
      </c>
      <c r="E10" s="25" t="n">
        <v>663</v>
      </c>
      <c r="F10" s="34" t="n">
        <v>14</v>
      </c>
      <c r="G10" s="35" t="n">
        <v>2.1</v>
      </c>
      <c r="H10" s="25" t="n">
        <v>230.7</v>
      </c>
      <c r="I10" s="25" t="n">
        <v>9</v>
      </c>
    </row>
    <row r="11">
      <c r="A11" s="27" t="inlineStr">
        <is>
          <t>Q4 2022</t>
        </is>
      </c>
      <c r="B11" s="27" t="n">
        <v>2022</v>
      </c>
      <c r="C11" s="27" t="inlineStr">
        <is>
          <t>Q4</t>
        </is>
      </c>
      <c r="D11" s="27" t="n">
        <v>694</v>
      </c>
      <c r="E11" s="27" t="n">
        <v>653</v>
      </c>
      <c r="F11" s="36" t="n">
        <v>41</v>
      </c>
      <c r="G11" s="37" t="n">
        <v>5.9</v>
      </c>
      <c r="H11" s="27" t="n">
        <v>235</v>
      </c>
      <c r="I11" s="27" t="n">
        <v>6</v>
      </c>
    </row>
    <row r="12">
      <c r="A12" s="25" t="inlineStr">
        <is>
          <t>Q1 2023</t>
        </is>
      </c>
      <c r="B12" s="25" t="n">
        <v>2023</v>
      </c>
      <c r="C12" s="25" t="inlineStr">
        <is>
          <t>Q1</t>
        </is>
      </c>
      <c r="D12" s="25" t="n">
        <v>771</v>
      </c>
      <c r="E12" s="25" t="n">
        <v>776</v>
      </c>
      <c r="F12" s="39" t="n">
        <v>-5</v>
      </c>
      <c r="G12" s="35" t="n">
        <v>-0.6</v>
      </c>
      <c r="H12" s="25" t="n">
        <v>240</v>
      </c>
      <c r="I12" s="25" t="n">
        <v>13</v>
      </c>
    </row>
    <row r="13">
      <c r="A13" s="27" t="inlineStr">
        <is>
          <t>Q2 2023</t>
        </is>
      </c>
      <c r="B13" s="27" t="n">
        <v>2023</v>
      </c>
      <c r="C13" s="27" t="inlineStr">
        <is>
          <t>Q2</t>
        </is>
      </c>
      <c r="D13" s="27" t="n">
        <v>719</v>
      </c>
      <c r="E13" s="27" t="n">
        <v>747</v>
      </c>
      <c r="F13" s="38" t="n">
        <v>-28</v>
      </c>
      <c r="G13" s="37" t="n">
        <v>-3.9</v>
      </c>
      <c r="H13" s="27" t="n">
        <v>247</v>
      </c>
      <c r="I13" s="27" t="n">
        <v>8</v>
      </c>
    </row>
    <row r="14">
      <c r="A14" s="25" t="inlineStr">
        <is>
          <t>Q3 2023</t>
        </is>
      </c>
      <c r="B14" s="25" t="n">
        <v>2023</v>
      </c>
      <c r="C14" s="25" t="inlineStr">
        <is>
          <t>Q3</t>
        </is>
      </c>
      <c r="D14" s="25" t="n">
        <v>777</v>
      </c>
      <c r="E14" s="25" t="n">
        <v>757</v>
      </c>
      <c r="F14" s="34" t="n">
        <v>20</v>
      </c>
      <c r="G14" s="35" t="n">
        <v>2.6</v>
      </c>
      <c r="H14" s="25" t="n">
        <v>254.7</v>
      </c>
      <c r="I14" s="25" t="n">
        <v>8</v>
      </c>
    </row>
    <row r="15">
      <c r="A15" s="27" t="inlineStr">
        <is>
          <t>Q4 2023</t>
        </is>
      </c>
      <c r="B15" s="27" t="n">
        <v>2023</v>
      </c>
      <c r="C15" s="27" t="inlineStr">
        <is>
          <t>Q4</t>
        </is>
      </c>
      <c r="D15" s="27" t="n">
        <v>794</v>
      </c>
      <c r="E15" s="27" t="n">
        <v>789</v>
      </c>
      <c r="F15" s="36" t="n">
        <v>5</v>
      </c>
      <c r="G15" s="37" t="n">
        <v>0.6</v>
      </c>
      <c r="H15" s="27" t="n">
        <v>255.3</v>
      </c>
      <c r="I15" s="27" t="n">
        <v>12</v>
      </c>
    </row>
    <row r="16">
      <c r="A16" s="25" t="inlineStr">
        <is>
          <t>Q1 2024</t>
        </is>
      </c>
      <c r="B16" s="25" t="n">
        <v>2024</v>
      </c>
      <c r="C16" s="25" t="inlineStr">
        <is>
          <t>Q1</t>
        </is>
      </c>
      <c r="D16" s="25" t="n">
        <v>754</v>
      </c>
      <c r="E16" s="25" t="n">
        <v>760</v>
      </c>
      <c r="F16" s="39" t="n">
        <v>-6</v>
      </c>
      <c r="G16" s="35" t="n">
        <v>-0.8</v>
      </c>
      <c r="H16" s="25" t="n">
        <v>257.7</v>
      </c>
      <c r="I16" s="25" t="n">
        <v>7</v>
      </c>
    </row>
    <row r="17">
      <c r="A17" s="27" t="inlineStr">
        <is>
          <t>Q2 2024</t>
        </is>
      </c>
      <c r="B17" s="27" t="n">
        <v>2024</v>
      </c>
      <c r="C17" s="27" t="inlineStr">
        <is>
          <t>Q2</t>
        </is>
      </c>
      <c r="D17" s="27" t="n">
        <v>908</v>
      </c>
      <c r="E17" s="27" t="n">
        <v>842</v>
      </c>
      <c r="F17" s="36" t="n">
        <v>66</v>
      </c>
      <c r="G17" s="37" t="n">
        <v>7.3</v>
      </c>
      <c r="H17" s="27" t="n">
        <v>270</v>
      </c>
      <c r="I17" s="27" t="n">
        <v>14</v>
      </c>
    </row>
    <row r="18">
      <c r="A18" s="25" t="inlineStr">
        <is>
          <t>Q3 2024</t>
        </is>
      </c>
      <c r="B18" s="25" t="n">
        <v>2024</v>
      </c>
      <c r="C18" s="25" t="inlineStr">
        <is>
          <t>Q3</t>
        </is>
      </c>
      <c r="D18" s="25" t="n">
        <v>825</v>
      </c>
      <c r="E18" s="25" t="n">
        <v>800</v>
      </c>
      <c r="F18" s="34" t="n">
        <v>25</v>
      </c>
      <c r="G18" s="35" t="n">
        <v>3</v>
      </c>
      <c r="H18" s="25" t="n">
        <v>270.3</v>
      </c>
      <c r="I18" s="25" t="n">
        <v>8</v>
      </c>
    </row>
    <row r="19">
      <c r="A19" s="27" t="inlineStr">
        <is>
          <t>Q4 2024</t>
        </is>
      </c>
      <c r="B19" s="27" t="n">
        <v>2024</v>
      </c>
      <c r="C19" s="27" t="inlineStr">
        <is>
          <t>Q4</t>
        </is>
      </c>
      <c r="D19" s="27" t="n">
        <v>875</v>
      </c>
      <c r="E19" s="27" t="n">
        <v>823</v>
      </c>
      <c r="F19" s="36" t="n">
        <v>52</v>
      </c>
      <c r="G19" s="37" t="n">
        <v>5.9</v>
      </c>
      <c r="H19" s="27" t="n">
        <v>278</v>
      </c>
      <c r="I19" s="27" t="n">
        <v>8</v>
      </c>
    </row>
    <row r="20">
      <c r="A20" s="40" t="inlineStr">
        <is>
          <t>TOTAL / AVG</t>
        </is>
      </c>
      <c r="D20" s="41">
        <f>SUM(D4:D19)</f>
        <v/>
      </c>
      <c r="E20" s="41">
        <f>SUM(E4:E19)</f>
        <v/>
      </c>
      <c r="H20" s="41">
        <f>AVERAGE(H4:H19)</f>
        <v/>
      </c>
      <c r="I20" s="41">
        <f>SUM(I4:I19)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55" customWidth="1" min="3" max="3"/>
    <col width="15" customWidth="1" min="4" max="4"/>
    <col width="10" customWidth="1" min="5" max="5"/>
    <col width="15" customWidth="1" min="6" max="6"/>
    <col width="15" customWidth="1" min="7" max="7"/>
    <col width="12" customWidth="1" min="8" max="8"/>
    <col width="14" customWidth="1" min="9" max="9"/>
    <col width="16" customWidth="1" min="10" max="10"/>
  </cols>
  <sheetData>
    <row r="1" ht="28" customHeight="1">
      <c r="A1" s="42" t="inlineStr">
        <is>
          <t xml:space="preserve"> 6-MONTH TICKET VOLUME FORECAST — Jan to Jun 2025</t>
        </is>
      </c>
    </row>
    <row r="2">
      <c r="A2" s="43" t="inlineStr">
        <is>
          <t xml:space="preserve">  Based on Multiple Linear Regression Model | Assumptions: +3 staff/month, 3 system updates/month, tenure declining 0.05 yrs/month, remote +0.5%/month</t>
        </is>
      </c>
    </row>
    <row r="4">
      <c r="A4" s="44" t="inlineStr">
        <is>
          <t>Month</t>
        </is>
      </c>
      <c r="B4" s="44" t="inlineStr">
        <is>
          <t>Staff Count</t>
        </is>
      </c>
      <c r="C4" s="44" t="inlineStr">
        <is>
          <t>System Updates</t>
        </is>
      </c>
      <c r="D4" s="44" t="inlineStr">
        <is>
          <t>Avg Tenure (Yrs)</t>
        </is>
      </c>
      <c r="E4" s="44" t="inlineStr">
        <is>
          <t>Remote %</t>
        </is>
      </c>
      <c r="F4" s="44" t="inlineStr">
        <is>
          <t>Prior Month Vol</t>
        </is>
      </c>
      <c r="G4" s="44" t="inlineStr">
        <is>
          <t>Forecast Tickets</t>
        </is>
      </c>
      <c r="H4" s="44" t="inlineStr">
        <is>
          <t>MoM Change</t>
        </is>
      </c>
      <c r="I4" s="44" t="inlineStr">
        <is>
          <t>MoM Change %</t>
        </is>
      </c>
      <c r="J4" s="44" t="inlineStr">
        <is>
          <t>Confidence Note</t>
        </is>
      </c>
    </row>
    <row r="5">
      <c r="A5" s="27" t="inlineStr">
        <is>
          <t>Jan 2025</t>
        </is>
      </c>
      <c r="B5" s="27" t="n">
        <v>288</v>
      </c>
      <c r="C5" s="27" t="n">
        <v>3</v>
      </c>
      <c r="D5" s="27" t="n">
        <v>3.4</v>
      </c>
      <c r="E5" s="27" t="n">
        <v>64.09999999999999</v>
      </c>
      <c r="F5" s="27" t="n">
        <v>275</v>
      </c>
      <c r="G5" s="45" t="n">
        <v>281</v>
      </c>
      <c r="H5" s="27" t="inlineStr">
        <is>
          <t>N/A</t>
        </is>
      </c>
      <c r="I5" s="27" t="inlineStr">
        <is>
          <t>N/A</t>
        </is>
      </c>
      <c r="J5" s="31" t="inlineStr">
        <is>
          <t>High</t>
        </is>
      </c>
    </row>
    <row r="6">
      <c r="A6" s="25" t="inlineStr">
        <is>
          <t>Feb 2025</t>
        </is>
      </c>
      <c r="B6" s="25" t="n">
        <v>291</v>
      </c>
      <c r="C6" s="25" t="n">
        <v>3</v>
      </c>
      <c r="D6" s="25" t="n">
        <v>3.3</v>
      </c>
      <c r="E6" s="25" t="n">
        <v>64.59999999999999</v>
      </c>
      <c r="F6" s="25" t="n">
        <v>281</v>
      </c>
      <c r="G6" s="46" t="n">
        <v>283</v>
      </c>
      <c r="H6" s="34" t="n">
        <v>2</v>
      </c>
      <c r="I6" s="25" t="n">
        <v>0.7</v>
      </c>
      <c r="J6" s="30" t="inlineStr">
        <is>
          <t>High</t>
        </is>
      </c>
    </row>
    <row r="7">
      <c r="A7" s="27" t="inlineStr">
        <is>
          <t>Mar 2025</t>
        </is>
      </c>
      <c r="B7" s="27" t="n">
        <v>294</v>
      </c>
      <c r="C7" s="27" t="n">
        <v>3</v>
      </c>
      <c r="D7" s="27" t="n">
        <v>3.2</v>
      </c>
      <c r="E7" s="27" t="n">
        <v>65.09999999999999</v>
      </c>
      <c r="F7" s="27" t="n">
        <v>283</v>
      </c>
      <c r="G7" s="45" t="n">
        <v>285</v>
      </c>
      <c r="H7" s="36" t="n">
        <v>2</v>
      </c>
      <c r="I7" s="27" t="n">
        <v>0.7</v>
      </c>
      <c r="J7" s="29" t="inlineStr">
        <is>
          <t>Medium</t>
        </is>
      </c>
    </row>
    <row r="8">
      <c r="A8" s="25" t="inlineStr">
        <is>
          <t>Apr 2025</t>
        </is>
      </c>
      <c r="B8" s="25" t="n">
        <v>297</v>
      </c>
      <c r="C8" s="25" t="n">
        <v>3</v>
      </c>
      <c r="D8" s="25" t="n">
        <v>3.2</v>
      </c>
      <c r="E8" s="25" t="n">
        <v>65.59999999999999</v>
      </c>
      <c r="F8" s="25" t="n">
        <v>285</v>
      </c>
      <c r="G8" s="46" t="n">
        <v>285</v>
      </c>
      <c r="H8" s="39" t="n">
        <v>0</v>
      </c>
      <c r="I8" s="25" t="n">
        <v>0</v>
      </c>
      <c r="J8" s="47" t="inlineStr">
        <is>
          <t>Low</t>
        </is>
      </c>
    </row>
    <row r="9">
      <c r="A9" s="27" t="inlineStr">
        <is>
          <t>May 2025</t>
        </is>
      </c>
      <c r="B9" s="27" t="n">
        <v>300</v>
      </c>
      <c r="C9" s="27" t="n">
        <v>3</v>
      </c>
      <c r="D9" s="27" t="n">
        <v>3.1</v>
      </c>
      <c r="E9" s="27" t="n">
        <v>66.09999999999999</v>
      </c>
      <c r="F9" s="27" t="n">
        <v>285</v>
      </c>
      <c r="G9" s="45" t="n">
        <v>287</v>
      </c>
      <c r="H9" s="36" t="n">
        <v>2</v>
      </c>
      <c r="I9" s="27" t="n">
        <v>0.7</v>
      </c>
      <c r="J9" s="48" t="inlineStr">
        <is>
          <t>Low</t>
        </is>
      </c>
    </row>
    <row r="10">
      <c r="A10" s="25" t="inlineStr">
        <is>
          <t>Jun 2025</t>
        </is>
      </c>
      <c r="B10" s="25" t="n">
        <v>303</v>
      </c>
      <c r="C10" s="25" t="n">
        <v>3</v>
      </c>
      <c r="D10" s="25" t="n">
        <v>3.1</v>
      </c>
      <c r="E10" s="25" t="n">
        <v>66.59999999999999</v>
      </c>
      <c r="F10" s="25" t="n">
        <v>287</v>
      </c>
      <c r="G10" s="46" t="n">
        <v>288</v>
      </c>
      <c r="H10" s="34" t="n">
        <v>1</v>
      </c>
      <c r="I10" s="25" t="n">
        <v>0.3</v>
      </c>
      <c r="J10" s="47" t="inlineStr">
        <is>
          <t>Low</t>
        </is>
      </c>
    </row>
    <row r="28">
      <c r="A28" s="49" t="inlineStr">
        <is>
          <t xml:space="preserve"> FORECAST ASSUMPTIONS</t>
        </is>
      </c>
    </row>
    <row r="29">
      <c r="A29" s="23" t="inlineStr">
        <is>
          <t>Assumption</t>
        </is>
      </c>
      <c r="B29" s="23" t="inlineStr">
        <is>
          <t>Value</t>
        </is>
      </c>
      <c r="C29" s="23" t="inlineStr">
        <is>
          <t>Rationale</t>
        </is>
      </c>
    </row>
    <row r="30">
      <c r="A30" s="50" t="inlineStr">
        <is>
          <t>Staff Count Growth</t>
        </is>
      </c>
      <c r="B30" s="51" t="inlineStr">
        <is>
          <t>+3 per month</t>
        </is>
      </c>
      <c r="C30" s="50" t="inlineStr">
        <is>
          <t>Based on ACT Public Sector headcount plan FY25</t>
        </is>
      </c>
    </row>
    <row r="31">
      <c r="A31" s="26" t="inlineStr">
        <is>
          <t>System Update Rate</t>
        </is>
      </c>
      <c r="B31" s="27" t="inlineStr">
        <is>
          <t>3 per month</t>
        </is>
      </c>
      <c r="C31" s="26" t="inlineStr">
        <is>
          <t>Historical average; no major ERP upgrade planned</t>
        </is>
      </c>
    </row>
    <row r="32">
      <c r="A32" s="50" t="inlineStr">
        <is>
          <t>Avg Tenure Trend</t>
        </is>
      </c>
      <c r="B32" s="51" t="inlineStr">
        <is>
          <t>-0.05 yrs/month</t>
        </is>
      </c>
      <c r="C32" s="50" t="inlineStr">
        <is>
          <t>Gradual erosion due to new hires reducing org avg</t>
        </is>
      </c>
    </row>
    <row r="33">
      <c r="A33" s="26" t="inlineStr">
        <is>
          <t>Remote Work %</t>
        </is>
      </c>
      <c r="B33" s="27" t="inlineStr">
        <is>
          <t>+0.5% per month</t>
        </is>
      </c>
      <c r="C33" s="26" t="inlineStr">
        <is>
          <t>Continued hybrid policy expansion</t>
        </is>
      </c>
    </row>
    <row r="34">
      <c r="A34" s="50" t="inlineStr">
        <is>
          <t>Confidence Decay</t>
        </is>
      </c>
      <c r="B34" s="51" t="inlineStr">
        <is>
          <t>High→Medium→Low</t>
        </is>
      </c>
      <c r="C34" s="50" t="inlineStr">
        <is>
          <t>Uncertainty compounds over longer horizons</t>
        </is>
      </c>
    </row>
  </sheetData>
  <mergeCells count="3">
    <mergeCell ref="A1:J1"/>
    <mergeCell ref="A28:J28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30" customHeight="1">
      <c r="A1" s="52" t="inlineStr">
        <is>
          <t xml:space="preserve"> METHODOLOGY &amp; TECHNICAL NOTES</t>
        </is>
      </c>
    </row>
    <row r="3" ht="22" customHeight="1">
      <c r="A3" s="53" t="inlineStr">
        <is>
          <t xml:space="preserve">  DATA SOURCE</t>
        </is>
      </c>
    </row>
    <row r="4" ht="18" customHeight="1">
      <c r="A4" s="54" t="inlineStr">
        <is>
          <t>• Dataset: Synthetic IT Support Ticket Dataset (enterprise-realistic, 48 months Jan 2021–Dec 2024)</t>
        </is>
      </c>
    </row>
    <row r="5" ht="18" customHeight="1">
      <c r="A5" s="55" t="inlineStr">
        <is>
          <t>• Records: 48 monthly observations with 6 predictors + 1 target variable</t>
        </is>
      </c>
    </row>
    <row r="6" ht="18" customHeight="1">
      <c r="A6" s="54" t="inlineStr">
        <is>
          <t>• Generator seed fixed at 42 for full reproducibility</t>
        </is>
      </c>
    </row>
    <row r="7" ht="18" customHeight="1">
      <c r="A7" s="55" t="inlineStr">
        <is>
          <t>• Data reflects typical ACT Government agency with ~200–280 staff and growing remote workforce</t>
        </is>
      </c>
    </row>
    <row r="9" ht="22" customHeight="1">
      <c r="A9" s="53" t="inlineStr">
        <is>
          <t xml:space="preserve">  FEATURES (INDEPENDENT VARIABLES)</t>
        </is>
      </c>
    </row>
    <row r="10" ht="18" customHeight="1">
      <c r="A10" s="54" t="inlineStr">
        <is>
          <t>• Staff Count — Total headcount that month (range: ~200–280)</t>
        </is>
      </c>
    </row>
    <row r="11" ht="18" customHeight="1">
      <c r="A11" s="55" t="inlineStr">
        <is>
          <t>• System Updates — Count of IT system update/deployment events</t>
        </is>
      </c>
    </row>
    <row r="12" ht="18" customHeight="1">
      <c r="A12" s="54" t="inlineStr">
        <is>
          <t>• Avg Tenure Years — Org-wide average employee tenure in years</t>
        </is>
      </c>
    </row>
    <row r="13" ht="18" customHeight="1">
      <c r="A13" s="55" t="inlineStr">
        <is>
          <t>• Remote % — Percentage of workforce working remotely</t>
        </is>
      </c>
    </row>
    <row r="14" ht="18" customHeight="1">
      <c r="A14" s="54" t="inlineStr">
        <is>
          <t>• Prior Month Volume — Previous month ticket count (autoregressive feature)</t>
        </is>
      </c>
    </row>
    <row r="15" ht="18" customHeight="1">
      <c r="A15" s="55" t="inlineStr">
        <is>
          <t>• Month Number — Calendar month (1–12) capturing seasonality</t>
        </is>
      </c>
    </row>
    <row r="17" ht="22" customHeight="1">
      <c r="A17" s="53" t="inlineStr">
        <is>
          <t xml:space="preserve">  MODEL SPECIFICATION</t>
        </is>
      </c>
    </row>
    <row r="18" ht="18" customHeight="1">
      <c r="A18" s="54" t="inlineStr">
        <is>
          <t>• Algorithm: Ordinary Least Squares (OLS) Multiple Linear Regression</t>
        </is>
      </c>
    </row>
    <row r="19" ht="18" customHeight="1">
      <c r="A19" s="55" t="inlineStr">
        <is>
          <t>• Library: scikit-learn 1.x LinearRegression()</t>
        </is>
      </c>
    </row>
    <row r="20" ht="18" customHeight="1">
      <c r="A20" s="54" t="inlineStr">
        <is>
          <t>• Train/Test Split: 80/20 chronological (no shuffle — preserves time ordering)</t>
        </is>
      </c>
    </row>
    <row r="21" ht="18" customHeight="1">
      <c r="A21" s="55" t="inlineStr">
        <is>
          <t>• Feature importance assessed via standardised coefficients (StandardScaler applied to X)</t>
        </is>
      </c>
    </row>
    <row r="22" ht="18" customHeight="1">
      <c r="A22" s="54" t="inlineStr">
        <is>
          <t>• No regularisation applied; collinearity checked informally via coefficient sign inspection</t>
        </is>
      </c>
    </row>
    <row r="24" ht="22" customHeight="1">
      <c r="A24" s="53" t="inlineStr">
        <is>
          <t xml:space="preserve">  VALIDATION APPROACH</t>
        </is>
      </c>
    </row>
    <row r="25" ht="18" customHeight="1">
      <c r="A25" s="55" t="inlineStr">
        <is>
          <t>• Primary metric: R² (coefficient of determination) on held-out test set</t>
        </is>
      </c>
    </row>
    <row r="26" ht="18" customHeight="1">
      <c r="A26" s="54" t="inlineStr">
        <is>
          <t>• Secondary metrics: MAE (mean absolute error) and RMSE (root mean squared error)</t>
        </is>
      </c>
    </row>
    <row r="27" ht="18" customHeight="1">
      <c r="A27" s="55" t="inlineStr">
        <is>
          <t>• Residual distribution visually inspected for normality and heteroscedasticity</t>
        </is>
      </c>
    </row>
    <row r="28" ht="18" customHeight="1">
      <c r="A28" s="54" t="inlineStr">
        <is>
          <t>• Walk-forward validation appropriate for time-series context; cross-validation not used</t>
        </is>
      </c>
    </row>
    <row r="30" ht="22" customHeight="1">
      <c r="A30" s="53" t="inlineStr">
        <is>
          <t xml:space="preserve">  LIMITATIONS &amp; CAVEATS</t>
        </is>
      </c>
    </row>
    <row r="31" ht="18" customHeight="1">
      <c r="A31" s="55" t="inlineStr">
        <is>
          <t>• Synthetic data — production deployment requires validation against actual ITSM system exports</t>
        </is>
      </c>
    </row>
    <row r="32" ht="18" customHeight="1">
      <c r="A32" s="54" t="inlineStr">
        <is>
          <t>• Linear model assumes additive, constant-slope relationships; non-linearities not captured</t>
        </is>
      </c>
    </row>
    <row r="33" ht="18" customHeight="1">
      <c r="A33" s="55" t="inlineStr">
        <is>
          <t>• No external shock modelling (e.g., cyberincidents, infrastructure outages)</t>
        </is>
      </c>
    </row>
    <row r="34" ht="18" customHeight="1">
      <c r="A34" s="54" t="inlineStr">
        <is>
          <t>• Forecast confidence degrades beyond 3 months; SARIMA or XGBoost recommended for longer horizons</t>
        </is>
      </c>
    </row>
    <row r="35" ht="18" customHeight="1">
      <c r="A35" s="55" t="inlineStr">
        <is>
          <t>• Prior Month Volume introduces mild data leakage risk in production — use with care</t>
        </is>
      </c>
    </row>
    <row r="37" ht="22" customHeight="1">
      <c r="A37" s="53" t="inlineStr">
        <is>
          <t xml:space="preserve">  TOOLS &amp; ENVIRONMENT</t>
        </is>
      </c>
    </row>
    <row r="38" ht="18" customHeight="1">
      <c r="A38" s="54" t="inlineStr">
        <is>
          <t>• Python 3.11 | pandas, scikit-learn, numpy, matplotlib, openpyxl</t>
        </is>
      </c>
    </row>
    <row r="39" ht="18" customHeight="1">
      <c r="A39" s="55" t="inlineStr">
        <is>
          <t>• Excel: Microsoft Excel 365 compatible (.xlsx) | openpyxl 3.x</t>
        </is>
      </c>
    </row>
    <row r="40" ht="18" customHeight="1">
      <c r="A40" s="54" t="inlineStr">
        <is>
          <t>• All code available on GitHub — see README for setup and reproduction steps</t>
        </is>
      </c>
    </row>
    <row r="41" ht="18" customHeight="1">
      <c r="A41" s="55" t="inlineStr">
        <is>
          <t>• Author: Data Analyst Portfolio Project | ACT Government Context | 2025</t>
        </is>
      </c>
    </row>
  </sheetData>
  <mergeCells count="35">
    <mergeCell ref="A34:K34"/>
    <mergeCell ref="A30:K30"/>
    <mergeCell ref="A39:K39"/>
    <mergeCell ref="A15:K15"/>
    <mergeCell ref="A24:K24"/>
    <mergeCell ref="A11:K11"/>
    <mergeCell ref="A1:K1"/>
    <mergeCell ref="A6:K6"/>
    <mergeCell ref="A7:K7"/>
    <mergeCell ref="A25:K25"/>
    <mergeCell ref="A41:K41"/>
    <mergeCell ref="A37:K37"/>
    <mergeCell ref="A27:K27"/>
    <mergeCell ref="A12:K12"/>
    <mergeCell ref="A18:K18"/>
    <mergeCell ref="A3:K3"/>
    <mergeCell ref="A21:K21"/>
    <mergeCell ref="A26:K26"/>
    <mergeCell ref="A33:K33"/>
    <mergeCell ref="A32:K32"/>
    <mergeCell ref="A14:K14"/>
    <mergeCell ref="A5:K5"/>
    <mergeCell ref="A17:K17"/>
    <mergeCell ref="A22:K22"/>
    <mergeCell ref="A35:K35"/>
    <mergeCell ref="A4:K4"/>
    <mergeCell ref="A20:K20"/>
    <mergeCell ref="A38:K38"/>
    <mergeCell ref="A19:K19"/>
    <mergeCell ref="A10:K10"/>
    <mergeCell ref="A28:K28"/>
    <mergeCell ref="A13:K13"/>
    <mergeCell ref="A40:K40"/>
    <mergeCell ref="A9:K9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2026-05-05T00:50:36Z</dcterms:created>
  <dcterms:modified xmlns:dcterms="http://purl.org/dc/terms/" xmlns:xsi="http://www.w3.org/2001/XMLSchema-instance" xsi:type="dcterms:W3CDTF">2026-05-05T00:50:36Z</dcterms:modified>
</cp:coreProperties>
</file>